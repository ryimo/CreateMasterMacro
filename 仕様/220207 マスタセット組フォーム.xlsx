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1646577394ac76/本近慎一郎/VBA学習/マスタ組セット/"/>
    </mc:Choice>
  </mc:AlternateContent>
  <xr:revisionPtr revIDLastSave="115" documentId="8_{1F40D6AB-B200-406A-B74D-B556E55297C3}" xr6:coauthVersionLast="47" xr6:coauthVersionMax="47" xr10:uidLastSave="{4F0D6C55-FEC9-427E-8B99-C9AB084C0969}"/>
  <bookViews>
    <workbookView xWindow="-110" yWindow="-110" windowWidth="19420" windowHeight="11620" xr2:uid="{5A0CCEA4-FE9C-49A3-917F-7CF9C749DC59}"/>
  </bookViews>
  <sheets>
    <sheet name="貼付" sheetId="1" r:id="rId1"/>
    <sheet name="マスタ登録抽出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F7" i="2"/>
  <c r="K3" i="2"/>
  <c r="F23" i="2"/>
  <c r="F24" i="2"/>
  <c r="F25" i="2"/>
  <c r="F26" i="2"/>
  <c r="F27" i="2"/>
  <c r="F28" i="2"/>
  <c r="F29" i="2"/>
  <c r="F30" i="2"/>
  <c r="F31" i="2"/>
  <c r="F22" i="2"/>
  <c r="F13" i="2"/>
  <c r="F14" i="2"/>
  <c r="F15" i="2"/>
  <c r="F16" i="2"/>
  <c r="F17" i="2"/>
  <c r="F18" i="2"/>
  <c r="F19" i="2"/>
  <c r="F20" i="2"/>
  <c r="F21" i="2"/>
  <c r="F12" i="2"/>
  <c r="F11" i="2"/>
  <c r="F3" i="2"/>
  <c r="F4" i="2"/>
  <c r="F5" i="2"/>
  <c r="F6" i="2"/>
  <c r="F8" i="2"/>
  <c r="F9" i="2"/>
  <c r="F10" i="2"/>
  <c r="F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2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2" i="2"/>
  <c r="D30" i="2"/>
  <c r="I30" i="2"/>
  <c r="D31" i="2"/>
  <c r="I31" i="2"/>
  <c r="D23" i="2"/>
  <c r="I23" i="2"/>
  <c r="D24" i="2"/>
  <c r="I24" i="2"/>
  <c r="D25" i="2"/>
  <c r="I25" i="2"/>
  <c r="D26" i="2"/>
  <c r="I26" i="2"/>
  <c r="D27" i="2"/>
  <c r="I27" i="2"/>
  <c r="D28" i="2"/>
  <c r="I28" i="2"/>
  <c r="D29" i="2"/>
  <c r="I29" i="2"/>
  <c r="I22" i="2"/>
  <c r="D22" i="2"/>
  <c r="I13" i="2"/>
  <c r="I14" i="2"/>
  <c r="I15" i="2"/>
  <c r="I16" i="2"/>
  <c r="I17" i="2"/>
  <c r="I18" i="2"/>
  <c r="I19" i="2"/>
  <c r="I20" i="2"/>
  <c r="I21" i="2"/>
  <c r="I12" i="2"/>
  <c r="I2" i="2"/>
  <c r="D13" i="2"/>
  <c r="D14" i="2"/>
  <c r="D15" i="2"/>
  <c r="D16" i="2"/>
  <c r="D17" i="2"/>
  <c r="D18" i="2"/>
  <c r="D19" i="2"/>
  <c r="D20" i="2"/>
  <c r="D21" i="2"/>
  <c r="D12" i="2"/>
  <c r="D11" i="2"/>
  <c r="I3" i="2"/>
  <c r="I4" i="2"/>
  <c r="I5" i="2"/>
  <c r="I6" i="2"/>
  <c r="I7" i="2"/>
  <c r="I8" i="2"/>
  <c r="I9" i="2"/>
  <c r="I10" i="2"/>
  <c r="I11" i="2"/>
  <c r="D3" i="2"/>
  <c r="D4" i="2"/>
  <c r="K4" i="2" s="1"/>
  <c r="D5" i="2"/>
  <c r="D6" i="2"/>
  <c r="D7" i="2"/>
  <c r="D8" i="2"/>
  <c r="D9" i="2"/>
  <c r="D10" i="2"/>
  <c r="D2" i="2"/>
  <c r="K12" i="2" l="1"/>
  <c r="K18" i="2"/>
  <c r="K14" i="2"/>
  <c r="K10" i="2"/>
  <c r="K6" i="2"/>
  <c r="K22" i="2"/>
  <c r="K28" i="2"/>
  <c r="K24" i="2"/>
  <c r="K2" i="2"/>
  <c r="K7" i="2"/>
  <c r="K8" i="2"/>
  <c r="K21" i="2"/>
  <c r="K17" i="2"/>
  <c r="K13" i="2"/>
  <c r="K9" i="2"/>
  <c r="K5" i="2"/>
  <c r="K16" i="2"/>
  <c r="K20" i="2"/>
  <c r="K11" i="2"/>
  <c r="K19" i="2"/>
  <c r="K15" i="2"/>
  <c r="K29" i="2"/>
  <c r="K27" i="2"/>
  <c r="K26" i="2"/>
  <c r="K25" i="2"/>
  <c r="K23" i="2"/>
  <c r="K31" i="2"/>
  <c r="K30" i="2"/>
</calcChain>
</file>

<file path=xl/sharedStrings.xml><?xml version="1.0" encoding="utf-8"?>
<sst xmlns="http://schemas.openxmlformats.org/spreadsheetml/2006/main" count="635" uniqueCount="141">
  <si>
    <t>商品コード</t>
    <rPh sb="0" eb="2">
      <t>ショウヒン</t>
    </rPh>
    <phoneticPr fontId="1"/>
  </si>
  <si>
    <t>仕入先コード</t>
    <rPh sb="0" eb="3">
      <t>シイレサキ</t>
    </rPh>
    <phoneticPr fontId="1"/>
  </si>
  <si>
    <t>JANコード</t>
  </si>
  <si>
    <t>ブランド</t>
  </si>
  <si>
    <t>商品名</t>
    <rPh sb="0" eb="3">
      <t>ショウヒンメイ</t>
    </rPh>
    <phoneticPr fontId="1"/>
  </si>
  <si>
    <t>規格</t>
    <rPh sb="0" eb="2">
      <t>キカク</t>
    </rPh>
    <phoneticPr fontId="1"/>
  </si>
  <si>
    <t>入り数</t>
    <rPh sb="0" eb="1">
      <t>イ</t>
    </rPh>
    <rPh sb="2" eb="3">
      <t>スウ</t>
    </rPh>
    <phoneticPr fontId="1"/>
  </si>
  <si>
    <t>本体価格</t>
    <rPh sb="0" eb="2">
      <t>ホンタイ</t>
    </rPh>
    <rPh sb="2" eb="4">
      <t>カカク</t>
    </rPh>
    <phoneticPr fontId="1"/>
  </si>
  <si>
    <t>№</t>
    <phoneticPr fontId="2"/>
  </si>
  <si>
    <t>-1</t>
  </si>
  <si>
    <t>-2</t>
  </si>
  <si>
    <t>-3</t>
  </si>
  <si>
    <t>-4</t>
  </si>
  <si>
    <t>-5</t>
  </si>
  <si>
    <t>-6</t>
  </si>
  <si>
    <t>-7</t>
  </si>
  <si>
    <t>-8</t>
  </si>
  <si>
    <t>-9</t>
  </si>
  <si>
    <t>-10</t>
  </si>
  <si>
    <t>フェニックス</t>
  </si>
  <si>
    <t>フェニックス</t>
    <phoneticPr fontId="2"/>
  </si>
  <si>
    <t>ﾐｵﾎﾞﾃﾞｨｿｰﾌﾟ  18L×1</t>
  </si>
  <si>
    <t>ﾐｵﾘﾝｽｲﾝｼｬﾝﾌﾟｰ 18L×1</t>
  </si>
  <si>
    <t>ﾐｵﾎﾞﾃﾞｨｿｰﾌﾟ 詰替用CBX  1000mL×8本</t>
  </si>
  <si>
    <t>ﾐｵﾘﾝｽｲﾝｼｬﾝﾌﾟｰ  詰替用CBX  1000mL×8本</t>
  </si>
  <si>
    <t>ﾊｰﾌﾞﾎﾞﾃﾞｨｿｰﾌﾟ  18L×1</t>
  </si>
  <si>
    <t>ﾊｰﾌﾞﾘﾝｽｲﾝｼｬﾝﾌﾟｰ  18L×1</t>
  </si>
  <si>
    <t>ﾊｰﾌﾞﾎﾞﾃﾞｨｿｰﾌﾟ  4L×4本</t>
  </si>
  <si>
    <t>ﾊｰﾌﾞﾘﾝｽｲﾝｼｬﾝﾌﾟｰ  4L×4本</t>
  </si>
  <si>
    <t>ﾊｰﾌﾞﾎﾞﾃﾞｨｿｰﾌﾟ  1000mL×12本</t>
  </si>
  <si>
    <t>ﾊｰﾌﾞﾘﾝｽｲﾝｼｬﾝﾌﾟｰ  1000mL×12本</t>
  </si>
  <si>
    <t>やさしいﾎﾞﾃﾞｨｿｰﾌﾟ  18L×1</t>
  </si>
  <si>
    <t>やさしいﾘﾝｽｲﾝｼｬﾝﾌﾟｰ  18L×1</t>
  </si>
  <si>
    <t>やさしいﾍｱｼｬﾝﾌﾟｰ  18L×1</t>
  </si>
  <si>
    <t>やさしいﾍｱﾘﾝｽ  18L×1</t>
  </si>
  <si>
    <t>馬油さくらﾎﾞﾃﾞｨｿｰﾌﾟ  18L×1</t>
  </si>
  <si>
    <t>馬油さくらｼｬﾝﾌﾟｰ  18L×1</t>
  </si>
  <si>
    <t>馬油さくらｺﾝﾃﾞｨｼｮﾅｰ  18L×1</t>
  </si>
  <si>
    <t>業務用入浴剤｢ﾕｽﾞ｣15kg(7.5kg×2)  7.5kg×2×1</t>
  </si>
  <si>
    <t>業務用入浴剤｢ｻｸﾗ｣15kg(7.5kg×2)  7.5kg×2×1</t>
  </si>
  <si>
    <t>業務用入浴剤｢ﾖﾓｷﾞ｣15kg(7.5kg×2)  7.5kg×2×1</t>
  </si>
  <si>
    <t>業務用入浴剤｢ﾛｰｽﾞ｣15kg(7.5kg×2)  7.5kg×2×1</t>
  </si>
  <si>
    <t>業務用入浴剤｢ﾐﾝﾄ｣15kg(7.5kg×2)  7.5kg×2×1</t>
  </si>
  <si>
    <t>業務用入浴剤｢ﾚﾓﾝ｣15kg(7.5kg×2)  7.5kg×2×1</t>
  </si>
  <si>
    <t>業務用入浴剤｢ﾗﾍﾞﾝﾀﾞｰ｣15kg(7.5kg×2)  7.5kg×2×1</t>
  </si>
  <si>
    <t>ｼﾞｬｽﾐﾝの湯 20kg入浴剤  10kg×2×1</t>
  </si>
  <si>
    <t>みかん  業務用20kg入浴剤  20kg×1</t>
  </si>
  <si>
    <t>新緑   業務用20kg入浴剤  20kg×1</t>
  </si>
  <si>
    <t>ｱﾗ!ｽｶﾙﾋﾟｽﾄ(ふけ取りｼｬﾝﾌﾟｰ)  1000mL×10本</t>
  </si>
  <si>
    <t>ｱﾗ!ﾎﾞﾃﾞｨｿｰﾌﾟ  18L×1</t>
  </si>
  <si>
    <t>ｱﾗ!ﾘﾝｽｲﾝｼｬﾝﾌﾟｰ  18L×1</t>
  </si>
  <si>
    <t>あたま&amp;からだｼｬﾝﾌﾟｰ  18L×1</t>
  </si>
  <si>
    <t>あたま&amp;からだｼｬﾝﾌﾟｰ  4L×4本</t>
  </si>
  <si>
    <t>ｱﾗ!薬用ﾅﾘｼﾝｸﾞﾏｲﾙﾄﾞEX   18L×1</t>
  </si>
  <si>
    <t>ｱﾗ!薬用ﾅﾘｼﾝｸﾞﾏｲﾙﾄﾞEX ﾎﾞﾄﾙﾀｲﾌﾟ  1000mL×12本</t>
  </si>
  <si>
    <t>ｱﾗ!弱酸性ﾎﾞﾃﾞｨｿｰﾌﾟ  1000mL×8本</t>
  </si>
  <si>
    <t>ｱﾗ!弱酸性ﾘﾝｽｲﾝｼｬﾝﾌﾟｰ  1000mL×8本</t>
  </si>
  <si>
    <t>ｱﾗ!ﾊﾝﾄﾞﾌｫｰﾑ 詰替用  1000mL×8本</t>
  </si>
  <si>
    <t>ｱﾗ!ﾊﾝﾄﾞﾌｫｰﾑ  ﾎﾞﾄﾙﾀｲﾌﾟ  500mL×15本</t>
  </si>
  <si>
    <t>ｱﾗ!弱酸性ﾎｲｯﾌﾟ&amp;ｳｫｯｼｭ ﾎﾞﾄﾙﾀｲﾌﾟ  500mL×15本</t>
  </si>
  <si>
    <t>ｱﾗ!泡ででる薬用手洗いｿｰﾌﾟ  詰替用  1000mL×8本</t>
  </si>
  <si>
    <t>ｱﾗ!泡ででる薬用手洗いｿｰﾌﾟ ﾎﾞﾄﾙﾀｲﾌﾟ  500mL×15本</t>
  </si>
  <si>
    <t>ｱﾗ!薬用ﾒﾃﾞｨﾌｫｰﾑ 詰替用  4L×4本</t>
  </si>
  <si>
    <t>ｱﾗ!薬用ﾒﾃﾞｨﾌｫｰﾑ ﾎﾞﾄﾙﾀｲﾌﾟ  500mL×15本</t>
  </si>
  <si>
    <t>ｱﾗ!薬用ﾒﾃﾞｨﾌｫｰﾑ 10L業務用  10L×1</t>
  </si>
  <si>
    <t>ｱﾗ!薬用ﾊﾝﾄﾞｿｰﾌﾟ        詰替用  1000mL×8本</t>
  </si>
  <si>
    <t>ｱﾗ!薬用ﾊﾝﾄﾞｿｰﾌﾟ       ﾎﾞﾄﾙﾀｲﾌﾟ  1000mL×12本</t>
  </si>
  <si>
    <t>Nｽﾀｰ 手指消毒 1L ﾆｲﾀｶ  1000mL×12本</t>
  </si>
  <si>
    <t>Nｽﾀｰ 手指消毒 5L ﾆｲﾀｶ  5L×4本</t>
  </si>
  <si>
    <t>Nｽﾀｰ 手指消毒 600mL ｻﾆｯﾄｹｱ  600mL×12本</t>
  </si>
  <si>
    <t>ｱﾗ!ﾊﾝﾄﾞﾐﾙｸ  295mL×20本</t>
  </si>
  <si>
    <t>ｱﾗ!馬油ﾎﾞﾃﾞｨﾐﾙｸ  200mL×20本</t>
  </si>
  <si>
    <t>ｱﾗ!ﾍﾞﾋﾞｰ沐浴液  500mL×12本</t>
  </si>
  <si>
    <t>ｱﾗ!清拭剤  1000mL×12本</t>
  </si>
  <si>
    <t>ｱﾗ!消臭除菌 極ﾐｽﾄ  10L×1</t>
  </si>
  <si>
    <t>ｱﾗ!ｱｸﾄﾌｫｰﾑ  4L×4本</t>
  </si>
  <si>
    <t>ｱﾗ!ｱｸﾄﾌｫｰﾑ  550mL×12本</t>
  </si>
  <si>
    <t>ｱﾗ!ｳｪﾙｹｱﾎﾞﾃﾞｨｿｰﾌﾟ  18L×1</t>
  </si>
  <si>
    <t>ｱﾗ!ｳｪﾙｹｱﾘﾝｽｲﾝｼｬﾝﾌﾟｰ  18L×1</t>
  </si>
  <si>
    <t>ｱﾗ!ｳｪﾙｹｱﾎﾞﾃﾞｨｿｰﾌﾟ  45mL×50本</t>
  </si>
  <si>
    <t>ｱﾗ!ｳｪﾙｹｱﾘﾝｽｲﾝｼｬﾝﾌﾟｰ  45mL×50本</t>
  </si>
  <si>
    <t>ｱﾗ!ゆずの湯  液体入浴料  4L×4本</t>
  </si>
  <si>
    <t>ｱﾗ!ｻﾎﾞﾝ･ｼﾞｬﾝﾃｨ  90g×20個</t>
  </si>
  <si>
    <t>ｱﾗ!ﾌﾙｰﾃｨﾎﾞﾃﾞｨｿｰﾌﾟ  18L×1</t>
  </si>
  <si>
    <t>ｱﾗ!ﾌﾙｰﾃｨﾘﾝｽｲﾝｼｬﾝﾌﾟｰ  18L×1</t>
  </si>
  <si>
    <t>ｱﾗ!ﾄﾞﾗｲﾅﾘｼﾝｸﾞ  本体  550mL×10本</t>
  </si>
  <si>
    <t>ｱﾗ!ﾄﾞﾗｲﾅﾘｼﾝｸﾞ  携帯用  100mL×30本</t>
  </si>
  <si>
    <t>ｱﾗ!ﾄﾞﾗｲﾅﾘｼﾝｸﾞ  業務用  4L×4本</t>
  </si>
  <si>
    <t>顔と手のｸﾘｱﾌｫｰﾑ 業務用  4L×4本</t>
  </si>
  <si>
    <t>ARA!薬用手洗い石けん  100g×60個</t>
  </si>
  <si>
    <t>木酢炭石鹸120g×48個</t>
  </si>
  <si>
    <t>竹酢竹石鹸120g×48個</t>
  </si>
  <si>
    <t>肌美人豆腐石鹸130g×40個</t>
  </si>
  <si>
    <t>花蜜精みつばちﾊﾆｰﾎﾞﾃﾞｨｿｰﾌﾟ500mL×15本</t>
  </si>
  <si>
    <t>花蜜精みつばちﾊﾆｰﾄﾘｰﾄﾒﾝﾄｼｬﾝﾌﾟｰ500mL×15本</t>
  </si>
  <si>
    <t>花蜜精みつばちﾊﾆｰﾍｱｺﾝﾃﾞｨｼｮﾅｰ500mL×15本</t>
  </si>
  <si>
    <t>花蜜精みつばちﾊﾆｰ美容ｼﾞｪﾙ100g×15個</t>
  </si>
  <si>
    <t>花蜜精はちみつｸﾚﾝｼﾞﾝｸﾞｿｰﾌﾟ85g×40個</t>
  </si>
  <si>
    <t>かもす 温泉豆乳ﾎﾞﾃﾞｨｿｰﾌﾟ350mL×15本</t>
  </si>
  <si>
    <t>かもす 温泉豆乳ｼｬﾝﾌﾟｰ350mL×15本</t>
  </si>
  <si>
    <t>かもす 温泉豆乳ｺﾝﾃﾞｨｼｮﾅｰ350mL×15本</t>
  </si>
  <si>
    <t>雪蜜馬油薬用ﾎﾞﾃﾞｨﾐﾙｸ200mL×20本</t>
  </si>
  <si>
    <t>雪蜜馬油ｱﾛﾏｿｰﾌﾟ100g×60個</t>
  </si>
  <si>
    <t>にほんのせっけん 30g ﾗﾍﾞﾝﾀﾞｰ馬油30g×100個</t>
  </si>
  <si>
    <t>にほんのせっけん 30g 炭30g×100個</t>
  </si>
  <si>
    <t>にほんのせっけん 30g 竹30g×100個</t>
  </si>
  <si>
    <t>にほんのせっけん 30g はちみつ30g×100個</t>
  </si>
  <si>
    <t>にほんのせっけん 30g さくら馬油30g×100個</t>
  </si>
  <si>
    <t>馬油さくら石鹸100g×50個</t>
  </si>
  <si>
    <t>馬油さくらﾎﾞﾃﾞｨｿｰﾌﾟ500mL×15本</t>
  </si>
  <si>
    <t>馬油さくらｼｬﾝﾌﾟｰ500mL×15本</t>
  </si>
  <si>
    <t>馬油さくらｺﾝﾃﾞｨｼｮﾅｰ500mL×15本</t>
  </si>
  <si>
    <t>馬油さくらWｺﾗｰｹﾞﾝｹﾞﾙ100g×15本</t>
  </si>
  <si>
    <t>馬油さくら化粧水150mL×20本</t>
  </si>
  <si>
    <t>ｱﾗ!ｻﾎﾞﾝ･ｼﾞｬﾝﾃｨ90g×20個</t>
  </si>
  <si>
    <t>AFTER WHITE ﾎﾟｰﾁｾｯﾄ80g×18個</t>
  </si>
  <si>
    <t>AFTER BLACK ﾎﾟｰﾁｾｯﾄ80g×18個</t>
  </si>
  <si>
    <t>AFTER WHITE 20g20g×200個</t>
  </si>
  <si>
    <t>AFTER BLACK 20g20g×200個</t>
  </si>
  <si>
    <t>福運石けん FK-2 70g前後×100個</t>
  </si>
  <si>
    <t>ﾎﾜｲﾄ石鹸  130g×150個</t>
  </si>
  <si>
    <t>ﾚﾓﾝ石鹸 5P  70g×5P×40包</t>
  </si>
  <si>
    <t>セット組</t>
    <rPh sb="3" eb="4">
      <t>クミ</t>
    </rPh>
    <phoneticPr fontId="2"/>
  </si>
  <si>
    <t>セット</t>
    <phoneticPr fontId="2"/>
  </si>
  <si>
    <t>個</t>
    <rPh sb="0" eb="1">
      <t>コ</t>
    </rPh>
    <phoneticPr fontId="2"/>
  </si>
  <si>
    <t>運賃</t>
    <rPh sb="0" eb="2">
      <t>ウンチン</t>
    </rPh>
    <phoneticPr fontId="2"/>
  </si>
  <si>
    <t>セット組作成数</t>
    <rPh sb="3" eb="4">
      <t>クミ</t>
    </rPh>
    <rPh sb="4" eb="6">
      <t>サクセイ</t>
    </rPh>
    <rPh sb="6" eb="7">
      <t>スウ</t>
    </rPh>
    <phoneticPr fontId="2"/>
  </si>
  <si>
    <t>税率</t>
    <rPh sb="0" eb="2">
      <t>ゼイリツ</t>
    </rPh>
    <phoneticPr fontId="2"/>
  </si>
  <si>
    <t>税込仕入単価</t>
    <rPh sb="0" eb="2">
      <t>ゼイコ</t>
    </rPh>
    <rPh sb="2" eb="4">
      <t>シイレ</t>
    </rPh>
    <rPh sb="4" eb="6">
      <t>タンカ</t>
    </rPh>
    <phoneticPr fontId="2"/>
  </si>
  <si>
    <t>かもす 温泉豆乳ﾎﾞﾃﾞｨｿｰﾌﾟ  18L</t>
    <phoneticPr fontId="2"/>
  </si>
  <si>
    <t>商品コメント（１言）</t>
    <rPh sb="0" eb="2">
      <t>ショウヒン</t>
    </rPh>
    <rPh sb="8" eb="9">
      <t>イ</t>
    </rPh>
    <phoneticPr fontId="2"/>
  </si>
  <si>
    <t>商品コメント（長め）</t>
    <rPh sb="0" eb="2">
      <t>ショウヒン</t>
    </rPh>
    <rPh sb="7" eb="8">
      <t>ナガ</t>
    </rPh>
    <phoneticPr fontId="2"/>
  </si>
  <si>
    <t>かもす 温泉豆乳ｺﾝﾃﾞｨｼｮﾅｰ  18L</t>
    <phoneticPr fontId="2"/>
  </si>
  <si>
    <t>花蜜精みつばちﾊﾆｰﾎﾞﾃﾞｨｿｰﾌﾟ  18L</t>
    <phoneticPr fontId="2"/>
  </si>
  <si>
    <t>花蜜精みつばちﾊﾆｰﾄﾘｰﾄﾒﾝﾄｼｬﾝﾌﾟｰ  18L</t>
    <phoneticPr fontId="2"/>
  </si>
  <si>
    <t>花蜜精みつばちﾊﾆｰﾍｱｺﾝﾃﾞｨｼｮﾅｰ  18L</t>
    <phoneticPr fontId="2"/>
  </si>
  <si>
    <t>自然にやさしいﾎﾞﾃﾞｨｿｰﾌﾟ  18L</t>
    <phoneticPr fontId="2"/>
  </si>
  <si>
    <t>自然にやさしいﾘﾝｽｲﾝｼｬﾝﾌﾟｰ  18L</t>
    <phoneticPr fontId="2"/>
  </si>
  <si>
    <t>かもす 温泉豆乳ｼｬﾝﾌﾟｰ  18L</t>
    <phoneticPr fontId="2"/>
  </si>
  <si>
    <t>税込売価</t>
    <rPh sb="0" eb="2">
      <t>ゼイコミ</t>
    </rPh>
    <rPh sb="2" eb="4">
      <t>バイカ</t>
    </rPh>
    <phoneticPr fontId="2"/>
  </si>
  <si>
    <t>オフ率</t>
    <rPh sb="2" eb="3">
      <t>リツ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</si>
</sst>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9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B9AE-75B6-4D72-8F1C-848E62B657D0}">
  <dimension ref="A1:R111"/>
  <sheetViews>
    <sheetView tabSelected="1" workbookViewId="0"/>
  </sheetViews>
  <sheetFormatPr defaultRowHeight="18" x14ac:dyDescent="0.55000000000000004"/>
  <cols>
    <col min="1" max="1" width="15.33203125" style="1" bestFit="1" customWidth="1"/>
    <col min="3" max="3" width="15.33203125" style="1" bestFit="1" customWidth="1"/>
  </cols>
  <sheetData>
    <row r="1" spans="1:18" x14ac:dyDescent="0.55000000000000004">
      <c r="A1" s="1" t="s">
        <v>0</v>
      </c>
      <c r="B1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127</v>
      </c>
      <c r="J1" s="4" t="s">
        <v>128</v>
      </c>
      <c r="K1" s="4" t="s">
        <v>125</v>
      </c>
      <c r="L1" s="4" t="s">
        <v>139</v>
      </c>
      <c r="M1" s="4" t="s">
        <v>130</v>
      </c>
      <c r="N1" s="4" t="s">
        <v>131</v>
      </c>
      <c r="P1" t="s">
        <v>122</v>
      </c>
      <c r="Q1" t="s">
        <v>126</v>
      </c>
      <c r="R1" t="s">
        <v>140</v>
      </c>
    </row>
    <row r="2" spans="1:18" x14ac:dyDescent="0.55000000000000004">
      <c r="B2">
        <v>1000</v>
      </c>
      <c r="C2" s="1">
        <v>4516552522125</v>
      </c>
      <c r="D2" t="s">
        <v>20</v>
      </c>
      <c r="E2" t="s">
        <v>129</v>
      </c>
      <c r="H2">
        <v>1000</v>
      </c>
      <c r="I2" s="2">
        <v>0.1</v>
      </c>
      <c r="J2">
        <f>IF(C2&gt;=1,ROUNDUP(H2*I2,0)+H2,"")</f>
        <v>1100</v>
      </c>
      <c r="K2">
        <v>500</v>
      </c>
      <c r="L2">
        <v>2000</v>
      </c>
      <c r="P2" t="s">
        <v>124</v>
      </c>
      <c r="Q2">
        <v>10</v>
      </c>
      <c r="R2" s="2">
        <v>0.1</v>
      </c>
    </row>
    <row r="3" spans="1:18" x14ac:dyDescent="0.55000000000000004">
      <c r="B3">
        <v>1000</v>
      </c>
      <c r="C3" s="1">
        <v>4516552208835</v>
      </c>
      <c r="D3" t="s">
        <v>19</v>
      </c>
      <c r="E3" t="s">
        <v>138</v>
      </c>
      <c r="H3">
        <v>2000</v>
      </c>
      <c r="I3" s="2">
        <v>0.1</v>
      </c>
      <c r="J3">
        <f t="shared" ref="J3:J66" si="0">IF(C3&gt;=1,ROUNDUP(H3*I3,0)+H3,"")</f>
        <v>2200</v>
      </c>
      <c r="K3">
        <v>500</v>
      </c>
      <c r="P3" t="s">
        <v>124</v>
      </c>
      <c r="Q3">
        <v>20</v>
      </c>
    </row>
    <row r="4" spans="1:18" x14ac:dyDescent="0.55000000000000004">
      <c r="B4">
        <v>1000</v>
      </c>
      <c r="C4" s="1">
        <v>4516552001606</v>
      </c>
      <c r="D4" t="s">
        <v>19</v>
      </c>
      <c r="E4" t="s">
        <v>132</v>
      </c>
      <c r="H4">
        <v>3000</v>
      </c>
      <c r="I4" s="2">
        <v>0.1</v>
      </c>
      <c r="J4">
        <f t="shared" si="0"/>
        <v>3300</v>
      </c>
      <c r="P4" t="s">
        <v>123</v>
      </c>
      <c r="Q4">
        <v>30</v>
      </c>
    </row>
    <row r="5" spans="1:18" x14ac:dyDescent="0.55000000000000004">
      <c r="B5">
        <v>1000</v>
      </c>
      <c r="C5" s="1">
        <v>4516552522583</v>
      </c>
      <c r="D5" t="s">
        <v>19</v>
      </c>
      <c r="E5" t="s">
        <v>133</v>
      </c>
      <c r="H5">
        <v>4000</v>
      </c>
      <c r="I5" s="2">
        <v>0.1</v>
      </c>
      <c r="J5">
        <f t="shared" si="0"/>
        <v>4400</v>
      </c>
      <c r="Q5">
        <v>40</v>
      </c>
    </row>
    <row r="6" spans="1:18" x14ac:dyDescent="0.55000000000000004">
      <c r="B6">
        <v>1000</v>
      </c>
      <c r="C6" s="1">
        <v>4516552208162</v>
      </c>
      <c r="D6" t="s">
        <v>19</v>
      </c>
      <c r="E6" t="s">
        <v>134</v>
      </c>
      <c r="H6">
        <v>5000</v>
      </c>
      <c r="I6" s="2">
        <v>0.1</v>
      </c>
      <c r="J6">
        <f t="shared" si="0"/>
        <v>5500</v>
      </c>
    </row>
    <row r="7" spans="1:18" x14ac:dyDescent="0.55000000000000004">
      <c r="B7">
        <v>1000</v>
      </c>
      <c r="C7" s="1">
        <v>4516552001552</v>
      </c>
      <c r="D7" t="s">
        <v>19</v>
      </c>
      <c r="E7" t="s">
        <v>135</v>
      </c>
      <c r="H7">
        <v>6000</v>
      </c>
      <c r="I7" s="2">
        <v>0.1</v>
      </c>
      <c r="J7">
        <f t="shared" si="0"/>
        <v>6600</v>
      </c>
    </row>
    <row r="8" spans="1:18" x14ac:dyDescent="0.55000000000000004">
      <c r="B8">
        <v>1000</v>
      </c>
      <c r="C8" s="1">
        <v>4516552503632</v>
      </c>
      <c r="D8" t="s">
        <v>19</v>
      </c>
      <c r="E8" t="s">
        <v>136</v>
      </c>
      <c r="H8">
        <v>7000</v>
      </c>
      <c r="I8" s="2">
        <v>0.1</v>
      </c>
      <c r="J8">
        <f t="shared" si="0"/>
        <v>7700</v>
      </c>
    </row>
    <row r="9" spans="1:18" x14ac:dyDescent="0.55000000000000004">
      <c r="B9">
        <v>1000</v>
      </c>
      <c r="C9" s="1">
        <v>4516552504124</v>
      </c>
      <c r="D9" t="s">
        <v>19</v>
      </c>
      <c r="E9" t="s">
        <v>137</v>
      </c>
      <c r="H9">
        <v>8000</v>
      </c>
      <c r="I9" s="2">
        <v>0.1</v>
      </c>
      <c r="J9">
        <f t="shared" si="0"/>
        <v>8800</v>
      </c>
    </row>
    <row r="10" spans="1:18" x14ac:dyDescent="0.55000000000000004">
      <c r="B10">
        <v>1000</v>
      </c>
      <c r="C10" s="1">
        <v>4516552522352</v>
      </c>
      <c r="D10" t="s">
        <v>19</v>
      </c>
      <c r="E10" t="s">
        <v>21</v>
      </c>
      <c r="H10">
        <v>9000</v>
      </c>
      <c r="I10" s="2">
        <v>0.1</v>
      </c>
      <c r="J10">
        <f t="shared" si="0"/>
        <v>9900</v>
      </c>
    </row>
    <row r="11" spans="1:18" x14ac:dyDescent="0.55000000000000004">
      <c r="B11">
        <v>1000</v>
      </c>
      <c r="C11" s="1">
        <v>4516552506455</v>
      </c>
      <c r="D11" t="s">
        <v>19</v>
      </c>
      <c r="E11" t="s">
        <v>22</v>
      </c>
      <c r="H11">
        <v>10000</v>
      </c>
      <c r="I11" s="2">
        <v>0.1</v>
      </c>
      <c r="J11">
        <f t="shared" si="0"/>
        <v>11000</v>
      </c>
    </row>
    <row r="12" spans="1:18" x14ac:dyDescent="0.55000000000000004">
      <c r="B12">
        <v>1000</v>
      </c>
      <c r="C12" s="1">
        <v>4516552522655</v>
      </c>
      <c r="D12" t="s">
        <v>19</v>
      </c>
      <c r="E12" t="s">
        <v>23</v>
      </c>
      <c r="H12">
        <v>11000</v>
      </c>
      <c r="I12" s="2">
        <v>0.1</v>
      </c>
      <c r="J12">
        <f t="shared" si="0"/>
        <v>12100</v>
      </c>
    </row>
    <row r="13" spans="1:18" x14ac:dyDescent="0.55000000000000004">
      <c r="B13">
        <v>1000</v>
      </c>
      <c r="C13" s="1">
        <v>4516552520251</v>
      </c>
      <c r="D13" t="s">
        <v>19</v>
      </c>
      <c r="E13" t="s">
        <v>24</v>
      </c>
      <c r="H13">
        <v>12000</v>
      </c>
      <c r="I13" s="2">
        <v>0.1</v>
      </c>
      <c r="J13">
        <f t="shared" si="0"/>
        <v>13200</v>
      </c>
    </row>
    <row r="14" spans="1:18" x14ac:dyDescent="0.55000000000000004">
      <c r="B14">
        <v>1000</v>
      </c>
      <c r="C14" s="1">
        <v>4516552504415</v>
      </c>
      <c r="D14" t="s">
        <v>19</v>
      </c>
      <c r="E14" t="s">
        <v>25</v>
      </c>
      <c r="H14">
        <v>13000</v>
      </c>
      <c r="I14" s="2">
        <v>0.1</v>
      </c>
      <c r="J14">
        <f t="shared" si="0"/>
        <v>14300</v>
      </c>
    </row>
    <row r="15" spans="1:18" x14ac:dyDescent="0.55000000000000004">
      <c r="B15">
        <v>1000</v>
      </c>
      <c r="C15" s="1">
        <v>4516552505286</v>
      </c>
      <c r="D15" t="s">
        <v>19</v>
      </c>
      <c r="E15" t="s">
        <v>26</v>
      </c>
      <c r="H15">
        <v>14000</v>
      </c>
      <c r="I15" s="2">
        <v>0.1</v>
      </c>
      <c r="J15">
        <f t="shared" si="0"/>
        <v>15400</v>
      </c>
    </row>
    <row r="16" spans="1:18" x14ac:dyDescent="0.55000000000000004">
      <c r="B16">
        <v>1000</v>
      </c>
      <c r="C16" s="1">
        <v>4516552505452</v>
      </c>
      <c r="D16" t="s">
        <v>19</v>
      </c>
      <c r="E16" t="s">
        <v>27</v>
      </c>
      <c r="H16">
        <v>15000</v>
      </c>
      <c r="I16" s="2">
        <v>0.1</v>
      </c>
      <c r="J16">
        <f t="shared" si="0"/>
        <v>16500</v>
      </c>
    </row>
    <row r="17" spans="2:10" x14ac:dyDescent="0.55000000000000004">
      <c r="B17">
        <v>1000</v>
      </c>
      <c r="C17" s="1">
        <v>4516552505223</v>
      </c>
      <c r="D17" t="s">
        <v>19</v>
      </c>
      <c r="E17" t="s">
        <v>28</v>
      </c>
      <c r="H17">
        <v>16000</v>
      </c>
      <c r="I17" s="2">
        <v>0.1</v>
      </c>
      <c r="J17">
        <f t="shared" si="0"/>
        <v>17600</v>
      </c>
    </row>
    <row r="18" spans="2:10" x14ac:dyDescent="0.55000000000000004">
      <c r="B18">
        <v>1000</v>
      </c>
      <c r="C18" s="1">
        <v>4516552522051</v>
      </c>
      <c r="D18" t="s">
        <v>19</v>
      </c>
      <c r="E18" t="s">
        <v>29</v>
      </c>
      <c r="H18">
        <v>17000</v>
      </c>
      <c r="I18" s="2">
        <v>0.1</v>
      </c>
      <c r="J18">
        <f t="shared" si="0"/>
        <v>18700</v>
      </c>
    </row>
    <row r="19" spans="2:10" x14ac:dyDescent="0.55000000000000004">
      <c r="B19">
        <v>1000</v>
      </c>
      <c r="C19" s="1">
        <v>4516552506244</v>
      </c>
      <c r="D19" t="s">
        <v>19</v>
      </c>
      <c r="E19" t="s">
        <v>30</v>
      </c>
      <c r="H19">
        <v>18000</v>
      </c>
      <c r="I19" s="2">
        <v>0.1</v>
      </c>
      <c r="J19">
        <f t="shared" si="0"/>
        <v>19800</v>
      </c>
    </row>
    <row r="20" spans="2:10" x14ac:dyDescent="0.55000000000000004">
      <c r="B20">
        <v>1000</v>
      </c>
      <c r="C20" s="1">
        <v>4516552506542</v>
      </c>
      <c r="D20" t="s">
        <v>19</v>
      </c>
      <c r="E20" t="s">
        <v>31</v>
      </c>
      <c r="H20">
        <v>19000</v>
      </c>
      <c r="I20" s="2">
        <v>0.1</v>
      </c>
      <c r="J20">
        <f t="shared" si="0"/>
        <v>20900</v>
      </c>
    </row>
    <row r="21" spans="2:10" x14ac:dyDescent="0.55000000000000004">
      <c r="B21">
        <v>1000</v>
      </c>
      <c r="C21" s="1">
        <v>4516552506216</v>
      </c>
      <c r="D21" t="s">
        <v>19</v>
      </c>
      <c r="E21" t="s">
        <v>32</v>
      </c>
      <c r="H21">
        <v>20000</v>
      </c>
      <c r="I21" s="2">
        <v>0.1</v>
      </c>
      <c r="J21">
        <f t="shared" si="0"/>
        <v>22000</v>
      </c>
    </row>
    <row r="22" spans="2:10" x14ac:dyDescent="0.55000000000000004">
      <c r="B22">
        <v>1000</v>
      </c>
      <c r="C22" s="1">
        <v>4516552201382</v>
      </c>
      <c r="D22" t="s">
        <v>19</v>
      </c>
      <c r="E22" t="s">
        <v>33</v>
      </c>
      <c r="H22">
        <v>21000</v>
      </c>
      <c r="I22" s="2">
        <v>0.1</v>
      </c>
      <c r="J22">
        <f t="shared" si="0"/>
        <v>23100</v>
      </c>
    </row>
    <row r="23" spans="2:10" x14ac:dyDescent="0.55000000000000004">
      <c r="B23">
        <v>1000</v>
      </c>
      <c r="C23" s="1">
        <v>4516552001202</v>
      </c>
      <c r="D23" t="s">
        <v>19</v>
      </c>
      <c r="E23" t="s">
        <v>34</v>
      </c>
      <c r="H23">
        <v>22000</v>
      </c>
      <c r="I23" s="2">
        <v>0.1</v>
      </c>
      <c r="J23">
        <f t="shared" si="0"/>
        <v>24200</v>
      </c>
    </row>
    <row r="24" spans="2:10" x14ac:dyDescent="0.55000000000000004">
      <c r="B24">
        <v>1000</v>
      </c>
      <c r="C24" s="1">
        <v>4516552522452</v>
      </c>
      <c r="D24" t="s">
        <v>19</v>
      </c>
      <c r="E24" t="s">
        <v>35</v>
      </c>
      <c r="H24">
        <v>23000</v>
      </c>
      <c r="I24" s="2">
        <v>0.1</v>
      </c>
      <c r="J24">
        <f t="shared" si="0"/>
        <v>25300</v>
      </c>
    </row>
    <row r="25" spans="2:10" x14ac:dyDescent="0.55000000000000004">
      <c r="B25">
        <v>1000</v>
      </c>
      <c r="C25" s="1">
        <v>4516552208123</v>
      </c>
      <c r="D25" t="s">
        <v>19</v>
      </c>
      <c r="E25" t="s">
        <v>36</v>
      </c>
      <c r="H25">
        <v>24000</v>
      </c>
      <c r="I25" s="2">
        <v>0.1</v>
      </c>
      <c r="J25">
        <f t="shared" si="0"/>
        <v>26400</v>
      </c>
    </row>
    <row r="26" spans="2:10" x14ac:dyDescent="0.55000000000000004">
      <c r="B26">
        <v>1000</v>
      </c>
      <c r="C26" s="1">
        <v>4516552001501</v>
      </c>
      <c r="D26" t="s">
        <v>19</v>
      </c>
      <c r="E26" t="s">
        <v>37</v>
      </c>
      <c r="H26">
        <v>25000</v>
      </c>
      <c r="I26" s="2">
        <v>0.1</v>
      </c>
      <c r="J26">
        <f t="shared" si="0"/>
        <v>27500</v>
      </c>
    </row>
    <row r="27" spans="2:10" x14ac:dyDescent="0.55000000000000004">
      <c r="B27">
        <v>1000</v>
      </c>
      <c r="C27" s="1">
        <v>4538265502052</v>
      </c>
      <c r="D27" t="s">
        <v>19</v>
      </c>
      <c r="E27" t="s">
        <v>38</v>
      </c>
      <c r="H27">
        <v>26000</v>
      </c>
      <c r="I27" s="2">
        <v>0.1</v>
      </c>
      <c r="J27">
        <f t="shared" si="0"/>
        <v>28600</v>
      </c>
    </row>
    <row r="28" spans="2:10" x14ac:dyDescent="0.55000000000000004">
      <c r="B28">
        <v>1000</v>
      </c>
      <c r="C28" s="1">
        <v>4538265502024</v>
      </c>
      <c r="D28" t="s">
        <v>19</v>
      </c>
      <c r="E28" t="s">
        <v>39</v>
      </c>
      <c r="H28">
        <v>27000</v>
      </c>
      <c r="I28" s="2">
        <v>0.1</v>
      </c>
      <c r="J28">
        <f t="shared" si="0"/>
        <v>29700</v>
      </c>
    </row>
    <row r="29" spans="2:10" x14ac:dyDescent="0.55000000000000004">
      <c r="B29">
        <v>1000</v>
      </c>
      <c r="C29" s="1">
        <v>4538265502038</v>
      </c>
      <c r="D29" t="s">
        <v>19</v>
      </c>
      <c r="E29" t="s">
        <v>40</v>
      </c>
      <c r="H29">
        <v>28000</v>
      </c>
      <c r="I29" s="2">
        <v>0.1</v>
      </c>
      <c r="J29">
        <f t="shared" si="0"/>
        <v>30800</v>
      </c>
    </row>
    <row r="30" spans="2:10" x14ac:dyDescent="0.55000000000000004">
      <c r="B30">
        <v>1000</v>
      </c>
      <c r="C30" s="1">
        <v>4538265502016</v>
      </c>
      <c r="D30" t="s">
        <v>19</v>
      </c>
      <c r="E30" t="s">
        <v>41</v>
      </c>
      <c r="H30">
        <v>29000</v>
      </c>
      <c r="I30" s="2">
        <v>0.1</v>
      </c>
      <c r="J30">
        <f t="shared" si="0"/>
        <v>31900</v>
      </c>
    </row>
    <row r="31" spans="2:10" x14ac:dyDescent="0.55000000000000004">
      <c r="B31">
        <v>1000</v>
      </c>
      <c r="C31" s="1">
        <v>4538265500232</v>
      </c>
      <c r="D31" t="s">
        <v>19</v>
      </c>
      <c r="E31" t="s">
        <v>42</v>
      </c>
      <c r="H31">
        <v>30000</v>
      </c>
      <c r="I31" s="2">
        <v>0.1</v>
      </c>
      <c r="J31">
        <f t="shared" si="0"/>
        <v>33000</v>
      </c>
    </row>
    <row r="32" spans="2:10" x14ac:dyDescent="0.55000000000000004">
      <c r="B32">
        <v>1000</v>
      </c>
      <c r="C32" s="1">
        <v>4538265500255</v>
      </c>
      <c r="D32" t="s">
        <v>19</v>
      </c>
      <c r="E32" t="s">
        <v>43</v>
      </c>
      <c r="H32">
        <v>31000</v>
      </c>
      <c r="I32" s="2">
        <v>0.1</v>
      </c>
      <c r="J32">
        <f t="shared" si="0"/>
        <v>34100</v>
      </c>
    </row>
    <row r="33" spans="2:10" x14ac:dyDescent="0.55000000000000004">
      <c r="B33">
        <v>1000</v>
      </c>
      <c r="C33" s="1">
        <v>4538265502050</v>
      </c>
      <c r="D33" t="s">
        <v>19</v>
      </c>
      <c r="E33" t="s">
        <v>44</v>
      </c>
      <c r="H33">
        <v>32000</v>
      </c>
      <c r="I33" s="2">
        <v>0.1</v>
      </c>
      <c r="J33">
        <f t="shared" si="0"/>
        <v>35200</v>
      </c>
    </row>
    <row r="34" spans="2:10" x14ac:dyDescent="0.55000000000000004">
      <c r="B34">
        <v>1000</v>
      </c>
      <c r="C34" s="1">
        <v>4538265502223</v>
      </c>
      <c r="D34" t="s">
        <v>19</v>
      </c>
      <c r="E34" t="s">
        <v>45</v>
      </c>
      <c r="H34">
        <v>33000</v>
      </c>
      <c r="I34" s="2">
        <v>0.1</v>
      </c>
      <c r="J34">
        <f t="shared" si="0"/>
        <v>36300</v>
      </c>
    </row>
    <row r="35" spans="2:10" x14ac:dyDescent="0.55000000000000004">
      <c r="B35">
        <v>1000</v>
      </c>
      <c r="C35" s="1">
        <v>4538265502220</v>
      </c>
      <c r="D35" t="s">
        <v>19</v>
      </c>
      <c r="E35" t="s">
        <v>46</v>
      </c>
      <c r="H35">
        <v>34000</v>
      </c>
      <c r="I35" s="2">
        <v>0.1</v>
      </c>
      <c r="J35">
        <f t="shared" si="0"/>
        <v>37400</v>
      </c>
    </row>
    <row r="36" spans="2:10" x14ac:dyDescent="0.55000000000000004">
      <c r="B36">
        <v>1000</v>
      </c>
      <c r="C36" s="1">
        <v>4538265502244</v>
      </c>
      <c r="D36" t="s">
        <v>19</v>
      </c>
      <c r="E36" t="s">
        <v>47</v>
      </c>
      <c r="H36">
        <v>35000</v>
      </c>
      <c r="I36" s="2">
        <v>0.1</v>
      </c>
      <c r="J36">
        <f t="shared" si="0"/>
        <v>38500</v>
      </c>
    </row>
    <row r="37" spans="2:10" x14ac:dyDescent="0.55000000000000004">
      <c r="B37">
        <v>1000</v>
      </c>
      <c r="C37" s="1">
        <v>4516552208825</v>
      </c>
      <c r="D37" t="s">
        <v>19</v>
      </c>
      <c r="E37" t="s">
        <v>48</v>
      </c>
      <c r="H37">
        <v>36000</v>
      </c>
      <c r="I37" s="2">
        <v>0.1</v>
      </c>
      <c r="J37">
        <f t="shared" si="0"/>
        <v>39600</v>
      </c>
    </row>
    <row r="38" spans="2:10" x14ac:dyDescent="0.55000000000000004">
      <c r="B38">
        <v>1000</v>
      </c>
      <c r="C38" s="1">
        <v>4516552522631</v>
      </c>
      <c r="D38" t="s">
        <v>19</v>
      </c>
      <c r="E38" t="s">
        <v>49</v>
      </c>
      <c r="H38">
        <v>37000</v>
      </c>
      <c r="I38" s="2">
        <v>0.1</v>
      </c>
      <c r="J38">
        <f t="shared" si="0"/>
        <v>40700</v>
      </c>
    </row>
    <row r="39" spans="2:10" x14ac:dyDescent="0.55000000000000004">
      <c r="B39">
        <v>1000</v>
      </c>
      <c r="C39" s="1">
        <v>4516552520226</v>
      </c>
      <c r="D39" t="s">
        <v>19</v>
      </c>
      <c r="E39" t="s">
        <v>50</v>
      </c>
      <c r="H39">
        <v>38000</v>
      </c>
      <c r="I39" s="2">
        <v>0.1</v>
      </c>
      <c r="J39">
        <f t="shared" si="0"/>
        <v>41800</v>
      </c>
    </row>
    <row r="40" spans="2:10" x14ac:dyDescent="0.55000000000000004">
      <c r="B40">
        <v>1000</v>
      </c>
      <c r="C40" s="1">
        <v>4516552200545</v>
      </c>
      <c r="D40" t="s">
        <v>19</v>
      </c>
      <c r="E40" t="s">
        <v>51</v>
      </c>
      <c r="H40">
        <v>39000</v>
      </c>
      <c r="I40" s="2">
        <v>0.1</v>
      </c>
      <c r="J40">
        <f t="shared" si="0"/>
        <v>42900</v>
      </c>
    </row>
    <row r="41" spans="2:10" x14ac:dyDescent="0.55000000000000004">
      <c r="B41">
        <v>1000</v>
      </c>
      <c r="C41" s="1">
        <v>4516552200840</v>
      </c>
      <c r="D41" t="s">
        <v>19</v>
      </c>
      <c r="E41" t="s">
        <v>52</v>
      </c>
      <c r="H41">
        <v>40000</v>
      </c>
      <c r="I41" s="2">
        <v>0.1</v>
      </c>
      <c r="J41">
        <f t="shared" si="0"/>
        <v>44000</v>
      </c>
    </row>
    <row r="42" spans="2:10" x14ac:dyDescent="0.55000000000000004">
      <c r="B42">
        <v>1000</v>
      </c>
      <c r="C42" s="1">
        <v>4516552522323</v>
      </c>
      <c r="D42" t="s">
        <v>19</v>
      </c>
      <c r="E42" t="s">
        <v>53</v>
      </c>
      <c r="H42">
        <v>41000</v>
      </c>
      <c r="I42" s="2">
        <v>0.1</v>
      </c>
      <c r="J42">
        <f t="shared" si="0"/>
        <v>45100</v>
      </c>
    </row>
    <row r="43" spans="2:10" x14ac:dyDescent="0.55000000000000004">
      <c r="B43">
        <v>1000</v>
      </c>
      <c r="C43" s="1">
        <v>4516552522330</v>
      </c>
      <c r="D43" t="s">
        <v>19</v>
      </c>
      <c r="E43" t="s">
        <v>54</v>
      </c>
      <c r="H43">
        <v>42000</v>
      </c>
      <c r="I43" s="2">
        <v>0.1</v>
      </c>
      <c r="J43">
        <f t="shared" si="0"/>
        <v>46200</v>
      </c>
    </row>
    <row r="44" spans="2:10" x14ac:dyDescent="0.55000000000000004">
      <c r="B44">
        <v>1000</v>
      </c>
      <c r="C44" s="1">
        <v>4516552522682</v>
      </c>
      <c r="D44" t="s">
        <v>19</v>
      </c>
      <c r="E44" t="s">
        <v>55</v>
      </c>
      <c r="H44">
        <v>43000</v>
      </c>
      <c r="I44" s="2">
        <v>0.1</v>
      </c>
      <c r="J44">
        <f t="shared" si="0"/>
        <v>47300</v>
      </c>
    </row>
    <row r="45" spans="2:10" x14ac:dyDescent="0.55000000000000004">
      <c r="B45">
        <v>1000</v>
      </c>
      <c r="C45" s="1">
        <v>4516552520240</v>
      </c>
      <c r="D45" t="s">
        <v>19</v>
      </c>
      <c r="E45" t="s">
        <v>56</v>
      </c>
      <c r="H45">
        <v>44000</v>
      </c>
      <c r="I45" s="2">
        <v>0.1</v>
      </c>
      <c r="J45">
        <f t="shared" si="0"/>
        <v>48400</v>
      </c>
    </row>
    <row r="46" spans="2:10" x14ac:dyDescent="0.55000000000000004">
      <c r="B46">
        <v>1000</v>
      </c>
      <c r="C46" s="1">
        <v>4516552025453</v>
      </c>
      <c r="D46" t="s">
        <v>19</v>
      </c>
      <c r="E46" t="s">
        <v>57</v>
      </c>
      <c r="H46">
        <v>45000</v>
      </c>
      <c r="I46" s="2">
        <v>0.1</v>
      </c>
      <c r="J46">
        <f t="shared" si="0"/>
        <v>49500</v>
      </c>
    </row>
    <row r="47" spans="2:10" x14ac:dyDescent="0.55000000000000004">
      <c r="B47">
        <v>1000</v>
      </c>
      <c r="C47" s="1">
        <v>4516552024505</v>
      </c>
      <c r="D47" t="s">
        <v>19</v>
      </c>
      <c r="E47" t="s">
        <v>58</v>
      </c>
      <c r="H47">
        <v>46000</v>
      </c>
      <c r="I47" s="2">
        <v>0.1</v>
      </c>
      <c r="J47">
        <f t="shared" si="0"/>
        <v>50600</v>
      </c>
    </row>
    <row r="48" spans="2:10" x14ac:dyDescent="0.55000000000000004">
      <c r="B48">
        <v>1000</v>
      </c>
      <c r="C48" s="1">
        <v>4516552024855</v>
      </c>
      <c r="D48" t="s">
        <v>19</v>
      </c>
      <c r="E48" t="s">
        <v>59</v>
      </c>
      <c r="H48">
        <v>47000</v>
      </c>
      <c r="I48" s="2">
        <v>0.1</v>
      </c>
      <c r="J48">
        <f t="shared" si="0"/>
        <v>51700</v>
      </c>
    </row>
    <row r="49" spans="2:10" x14ac:dyDescent="0.55000000000000004">
      <c r="B49">
        <v>1000</v>
      </c>
      <c r="C49" s="1">
        <v>4516552025485</v>
      </c>
      <c r="D49" t="s">
        <v>19</v>
      </c>
      <c r="E49" t="s">
        <v>60</v>
      </c>
      <c r="H49">
        <v>48000</v>
      </c>
      <c r="I49" s="2">
        <v>0.1</v>
      </c>
      <c r="J49">
        <f t="shared" si="0"/>
        <v>52800</v>
      </c>
    </row>
    <row r="50" spans="2:10" x14ac:dyDescent="0.55000000000000004">
      <c r="B50">
        <v>1000</v>
      </c>
      <c r="C50" s="1">
        <v>4516552025083</v>
      </c>
      <c r="D50" t="s">
        <v>19</v>
      </c>
      <c r="E50" t="s">
        <v>61</v>
      </c>
      <c r="H50">
        <v>49000</v>
      </c>
      <c r="I50" s="2">
        <v>0.1</v>
      </c>
      <c r="J50">
        <f t="shared" si="0"/>
        <v>53900</v>
      </c>
    </row>
    <row r="51" spans="2:10" x14ac:dyDescent="0.55000000000000004">
      <c r="B51">
        <v>1000</v>
      </c>
      <c r="C51" s="1">
        <v>4516552025038</v>
      </c>
      <c r="D51" t="s">
        <v>19</v>
      </c>
      <c r="E51" t="s">
        <v>62</v>
      </c>
      <c r="H51">
        <v>50000</v>
      </c>
      <c r="I51" s="2">
        <v>0.1</v>
      </c>
      <c r="J51">
        <f t="shared" si="0"/>
        <v>55000</v>
      </c>
    </row>
    <row r="52" spans="2:10" x14ac:dyDescent="0.55000000000000004">
      <c r="B52">
        <v>1000</v>
      </c>
      <c r="C52" s="1">
        <v>4516552025045</v>
      </c>
      <c r="D52" t="s">
        <v>19</v>
      </c>
      <c r="E52" t="s">
        <v>63</v>
      </c>
      <c r="H52">
        <v>51000</v>
      </c>
      <c r="I52" s="2">
        <v>0.1</v>
      </c>
      <c r="J52">
        <f t="shared" si="0"/>
        <v>56100</v>
      </c>
    </row>
    <row r="53" spans="2:10" x14ac:dyDescent="0.55000000000000004">
      <c r="B53">
        <v>1000</v>
      </c>
      <c r="C53" s="1">
        <v>4516552025502</v>
      </c>
      <c r="D53" t="s">
        <v>19</v>
      </c>
      <c r="E53" t="s">
        <v>64</v>
      </c>
      <c r="H53">
        <v>52000</v>
      </c>
      <c r="I53" s="2">
        <v>0.1</v>
      </c>
      <c r="J53">
        <f t="shared" si="0"/>
        <v>57200</v>
      </c>
    </row>
    <row r="54" spans="2:10" x14ac:dyDescent="0.55000000000000004">
      <c r="B54">
        <v>1000</v>
      </c>
      <c r="C54" s="1">
        <v>4516552025412</v>
      </c>
      <c r="D54" t="s">
        <v>19</v>
      </c>
      <c r="E54" t="s">
        <v>65</v>
      </c>
      <c r="H54">
        <v>53000</v>
      </c>
      <c r="I54" s="2">
        <v>0.1</v>
      </c>
      <c r="J54">
        <f t="shared" si="0"/>
        <v>58300</v>
      </c>
    </row>
    <row r="55" spans="2:10" x14ac:dyDescent="0.55000000000000004">
      <c r="B55">
        <v>1000</v>
      </c>
      <c r="C55" s="1">
        <v>4516552505658</v>
      </c>
      <c r="D55" t="s">
        <v>19</v>
      </c>
      <c r="E55" t="s">
        <v>66</v>
      </c>
      <c r="H55">
        <v>54000</v>
      </c>
      <c r="I55" s="2">
        <v>0.1</v>
      </c>
      <c r="J55">
        <f t="shared" si="0"/>
        <v>59400</v>
      </c>
    </row>
    <row r="56" spans="2:10" x14ac:dyDescent="0.55000000000000004">
      <c r="B56">
        <v>1000</v>
      </c>
      <c r="C56" s="1">
        <v>4515651210126</v>
      </c>
      <c r="D56" t="s">
        <v>19</v>
      </c>
      <c r="E56" t="s">
        <v>67</v>
      </c>
      <c r="H56">
        <v>55000</v>
      </c>
      <c r="I56" s="2">
        <v>0.1</v>
      </c>
      <c r="J56">
        <f t="shared" si="0"/>
        <v>60500</v>
      </c>
    </row>
    <row r="57" spans="2:10" x14ac:dyDescent="0.55000000000000004">
      <c r="B57">
        <v>1000</v>
      </c>
      <c r="C57" s="1">
        <v>4515651210106</v>
      </c>
      <c r="D57" t="s">
        <v>19</v>
      </c>
      <c r="E57" t="s">
        <v>68</v>
      </c>
      <c r="H57">
        <v>56000</v>
      </c>
      <c r="I57" s="2">
        <v>0.1</v>
      </c>
      <c r="J57">
        <f t="shared" si="0"/>
        <v>61600</v>
      </c>
    </row>
    <row r="58" spans="2:10" x14ac:dyDescent="0.55000000000000004">
      <c r="B58">
        <v>1000</v>
      </c>
      <c r="C58" s="1">
        <v>4515651210118</v>
      </c>
      <c r="D58" t="s">
        <v>19</v>
      </c>
      <c r="E58" t="s">
        <v>69</v>
      </c>
      <c r="H58">
        <v>57000</v>
      </c>
      <c r="I58" s="2">
        <v>0.1</v>
      </c>
      <c r="J58">
        <f t="shared" si="0"/>
        <v>62700</v>
      </c>
    </row>
    <row r="59" spans="2:10" x14ac:dyDescent="0.55000000000000004">
      <c r="B59">
        <v>1000</v>
      </c>
      <c r="C59" s="1">
        <v>4516552025282</v>
      </c>
      <c r="D59" t="s">
        <v>19</v>
      </c>
      <c r="E59" t="s">
        <v>70</v>
      </c>
      <c r="H59">
        <v>58000</v>
      </c>
      <c r="I59" s="2">
        <v>0.1</v>
      </c>
      <c r="J59">
        <f t="shared" si="0"/>
        <v>63800</v>
      </c>
    </row>
    <row r="60" spans="2:10" x14ac:dyDescent="0.55000000000000004">
      <c r="B60">
        <v>1000</v>
      </c>
      <c r="C60" s="1">
        <v>4516552022860</v>
      </c>
      <c r="D60" t="s">
        <v>19</v>
      </c>
      <c r="E60" t="s">
        <v>71</v>
      </c>
      <c r="H60">
        <v>59000</v>
      </c>
      <c r="I60" s="2">
        <v>0.1</v>
      </c>
      <c r="J60">
        <f t="shared" si="0"/>
        <v>64900</v>
      </c>
    </row>
    <row r="61" spans="2:10" x14ac:dyDescent="0.55000000000000004">
      <c r="B61">
        <v>1000</v>
      </c>
      <c r="C61" s="1">
        <v>4516552023584</v>
      </c>
      <c r="D61" t="s">
        <v>19</v>
      </c>
      <c r="E61" t="s">
        <v>72</v>
      </c>
      <c r="H61">
        <v>60000</v>
      </c>
      <c r="I61" s="2">
        <v>0.1</v>
      </c>
      <c r="J61">
        <f t="shared" si="0"/>
        <v>66000</v>
      </c>
    </row>
    <row r="62" spans="2:10" x14ac:dyDescent="0.55000000000000004">
      <c r="B62">
        <v>1000</v>
      </c>
      <c r="C62" s="1">
        <v>4516552020105</v>
      </c>
      <c r="D62" t="s">
        <v>19</v>
      </c>
      <c r="E62" t="s">
        <v>73</v>
      </c>
      <c r="H62">
        <v>61000</v>
      </c>
      <c r="I62" s="2">
        <v>0.1</v>
      </c>
      <c r="J62">
        <f t="shared" si="0"/>
        <v>67100</v>
      </c>
    </row>
    <row r="63" spans="2:10" x14ac:dyDescent="0.55000000000000004">
      <c r="B63">
        <v>1000</v>
      </c>
      <c r="C63" s="1">
        <v>4516552008658</v>
      </c>
      <c r="D63" t="s">
        <v>19</v>
      </c>
      <c r="E63" t="s">
        <v>74</v>
      </c>
      <c r="H63">
        <v>62000</v>
      </c>
      <c r="I63" s="2">
        <v>0.1</v>
      </c>
      <c r="J63">
        <f t="shared" si="0"/>
        <v>68200</v>
      </c>
    </row>
    <row r="64" spans="2:10" x14ac:dyDescent="0.55000000000000004">
      <c r="B64">
        <v>1000</v>
      </c>
      <c r="C64" s="1">
        <v>4516552025024</v>
      </c>
      <c r="D64" t="s">
        <v>19</v>
      </c>
      <c r="E64" t="s">
        <v>75</v>
      </c>
      <c r="H64">
        <v>63000</v>
      </c>
      <c r="I64" s="2">
        <v>0.1</v>
      </c>
      <c r="J64">
        <f t="shared" si="0"/>
        <v>69300</v>
      </c>
    </row>
    <row r="65" spans="2:10" x14ac:dyDescent="0.55000000000000004">
      <c r="B65">
        <v>1000</v>
      </c>
      <c r="C65" s="1">
        <v>4516552025252</v>
      </c>
      <c r="D65" t="s">
        <v>19</v>
      </c>
      <c r="E65" t="s">
        <v>76</v>
      </c>
      <c r="H65">
        <v>64000</v>
      </c>
      <c r="I65" s="2">
        <v>0.1</v>
      </c>
      <c r="J65">
        <f t="shared" si="0"/>
        <v>70400</v>
      </c>
    </row>
    <row r="66" spans="2:10" x14ac:dyDescent="0.55000000000000004">
      <c r="B66">
        <v>1000</v>
      </c>
      <c r="C66" s="1">
        <v>4516552522501</v>
      </c>
      <c r="D66" t="s">
        <v>19</v>
      </c>
      <c r="E66" t="s">
        <v>77</v>
      </c>
      <c r="H66">
        <v>65000</v>
      </c>
      <c r="I66" s="2">
        <v>0.1</v>
      </c>
      <c r="J66">
        <f t="shared" si="0"/>
        <v>71500</v>
      </c>
    </row>
    <row r="67" spans="2:10" x14ac:dyDescent="0.55000000000000004">
      <c r="B67">
        <v>1000</v>
      </c>
      <c r="C67" s="1">
        <v>4516552506413</v>
      </c>
      <c r="D67" t="s">
        <v>19</v>
      </c>
      <c r="E67" t="s">
        <v>78</v>
      </c>
      <c r="H67">
        <v>66000</v>
      </c>
      <c r="I67" s="2">
        <v>0.1</v>
      </c>
      <c r="J67">
        <f t="shared" ref="J67:J111" si="1">IF(C67&gt;=1,ROUNDUP(H67*I67,0)+H67,"")</f>
        <v>72600</v>
      </c>
    </row>
    <row r="68" spans="2:10" x14ac:dyDescent="0.55000000000000004">
      <c r="B68">
        <v>1000</v>
      </c>
      <c r="C68" s="1">
        <v>4516552522652</v>
      </c>
      <c r="D68" t="s">
        <v>19</v>
      </c>
      <c r="E68" t="s">
        <v>79</v>
      </c>
      <c r="H68">
        <v>67000</v>
      </c>
      <c r="I68" s="2">
        <v>0.1</v>
      </c>
      <c r="J68">
        <f t="shared" si="1"/>
        <v>73700</v>
      </c>
    </row>
    <row r="69" spans="2:10" x14ac:dyDescent="0.55000000000000004">
      <c r="B69">
        <v>1000</v>
      </c>
      <c r="C69" s="1">
        <v>4516552520233</v>
      </c>
      <c r="D69" t="s">
        <v>19</v>
      </c>
      <c r="E69" t="s">
        <v>80</v>
      </c>
      <c r="H69">
        <v>68000</v>
      </c>
      <c r="I69" s="2">
        <v>0.1</v>
      </c>
      <c r="J69">
        <f t="shared" si="1"/>
        <v>74800</v>
      </c>
    </row>
    <row r="70" spans="2:10" x14ac:dyDescent="0.55000000000000004">
      <c r="B70">
        <v>1000</v>
      </c>
      <c r="C70" s="1">
        <v>4516552024604</v>
      </c>
      <c r="D70" t="s">
        <v>19</v>
      </c>
      <c r="E70" t="s">
        <v>81</v>
      </c>
      <c r="H70">
        <v>69000</v>
      </c>
      <c r="I70" s="2">
        <v>0.1</v>
      </c>
      <c r="J70">
        <f t="shared" si="1"/>
        <v>75900</v>
      </c>
    </row>
    <row r="71" spans="2:10" x14ac:dyDescent="0.55000000000000004">
      <c r="B71">
        <v>1000</v>
      </c>
      <c r="C71" s="1">
        <v>4516552203564</v>
      </c>
      <c r="D71" t="s">
        <v>19</v>
      </c>
      <c r="E71" t="s">
        <v>82</v>
      </c>
      <c r="H71">
        <v>70000</v>
      </c>
      <c r="I71" s="2">
        <v>0.1</v>
      </c>
      <c r="J71">
        <f t="shared" si="1"/>
        <v>77000</v>
      </c>
    </row>
    <row r="72" spans="2:10" x14ac:dyDescent="0.55000000000000004">
      <c r="B72">
        <v>1000</v>
      </c>
      <c r="C72" s="1">
        <v>4516552506655</v>
      </c>
      <c r="D72" t="s">
        <v>19</v>
      </c>
      <c r="E72" t="s">
        <v>83</v>
      </c>
      <c r="H72">
        <v>71000</v>
      </c>
      <c r="I72" s="2">
        <v>0.1</v>
      </c>
      <c r="J72">
        <f t="shared" si="1"/>
        <v>78100</v>
      </c>
    </row>
    <row r="73" spans="2:10" x14ac:dyDescent="0.55000000000000004">
      <c r="B73">
        <v>1000</v>
      </c>
      <c r="C73" s="1">
        <v>4516552201522</v>
      </c>
      <c r="D73" t="s">
        <v>19</v>
      </c>
      <c r="E73" t="s">
        <v>84</v>
      </c>
      <c r="H73">
        <v>72000</v>
      </c>
      <c r="I73" s="2">
        <v>0.1</v>
      </c>
      <c r="J73">
        <f t="shared" si="1"/>
        <v>79200</v>
      </c>
    </row>
    <row r="74" spans="2:10" x14ac:dyDescent="0.55000000000000004">
      <c r="B74">
        <v>1000</v>
      </c>
      <c r="C74" s="1">
        <v>4516552024532</v>
      </c>
      <c r="D74" t="s">
        <v>19</v>
      </c>
      <c r="E74" t="s">
        <v>85</v>
      </c>
      <c r="H74">
        <v>73000</v>
      </c>
      <c r="I74" s="2">
        <v>0.1</v>
      </c>
      <c r="J74">
        <f t="shared" si="1"/>
        <v>80300</v>
      </c>
    </row>
    <row r="75" spans="2:10" x14ac:dyDescent="0.55000000000000004">
      <c r="B75">
        <v>1000</v>
      </c>
      <c r="C75" s="1">
        <v>4516552025551</v>
      </c>
      <c r="D75" t="s">
        <v>19</v>
      </c>
      <c r="E75" t="s">
        <v>86</v>
      </c>
      <c r="H75">
        <v>74000</v>
      </c>
      <c r="I75" s="2">
        <v>0.1</v>
      </c>
      <c r="J75">
        <f t="shared" si="1"/>
        <v>81400</v>
      </c>
    </row>
    <row r="76" spans="2:10" x14ac:dyDescent="0.55000000000000004">
      <c r="B76">
        <v>1000</v>
      </c>
      <c r="C76" s="1">
        <v>4516552025223</v>
      </c>
      <c r="D76" t="s">
        <v>19</v>
      </c>
      <c r="E76" t="s">
        <v>87</v>
      </c>
      <c r="H76">
        <v>75000</v>
      </c>
      <c r="I76" s="2">
        <v>0.1</v>
      </c>
      <c r="J76">
        <f t="shared" si="1"/>
        <v>82500</v>
      </c>
    </row>
    <row r="77" spans="2:10" x14ac:dyDescent="0.55000000000000004">
      <c r="B77">
        <v>1000</v>
      </c>
      <c r="C77" s="1">
        <v>4516552024635</v>
      </c>
      <c r="D77" t="s">
        <v>19</v>
      </c>
      <c r="E77" t="s">
        <v>88</v>
      </c>
      <c r="H77">
        <v>76000</v>
      </c>
      <c r="I77" s="2">
        <v>0.1</v>
      </c>
      <c r="J77">
        <f t="shared" si="1"/>
        <v>83600</v>
      </c>
    </row>
    <row r="78" spans="2:10" x14ac:dyDescent="0.55000000000000004">
      <c r="B78">
        <v>1000</v>
      </c>
      <c r="C78" s="1">
        <v>4516552220244</v>
      </c>
      <c r="D78" t="s">
        <v>19</v>
      </c>
      <c r="E78" t="s">
        <v>89</v>
      </c>
      <c r="H78">
        <v>77000</v>
      </c>
      <c r="I78" s="2">
        <v>0.1</v>
      </c>
      <c r="J78">
        <f t="shared" si="1"/>
        <v>84700</v>
      </c>
    </row>
    <row r="79" spans="2:10" x14ac:dyDescent="0.55000000000000004">
      <c r="B79">
        <v>1000</v>
      </c>
      <c r="C79" s="1">
        <v>4516552203588</v>
      </c>
      <c r="D79" t="s">
        <v>19</v>
      </c>
      <c r="E79" t="s">
        <v>90</v>
      </c>
      <c r="H79">
        <v>78000</v>
      </c>
      <c r="I79" s="2">
        <v>0.1</v>
      </c>
      <c r="J79">
        <f t="shared" si="1"/>
        <v>85800</v>
      </c>
    </row>
    <row r="80" spans="2:10" x14ac:dyDescent="0.55000000000000004">
      <c r="B80">
        <v>1000</v>
      </c>
      <c r="C80" s="1">
        <v>4516552203555</v>
      </c>
      <c r="D80" t="s">
        <v>19</v>
      </c>
      <c r="E80" t="s">
        <v>91</v>
      </c>
      <c r="H80">
        <v>79000</v>
      </c>
      <c r="I80" s="2">
        <v>0.1</v>
      </c>
      <c r="J80">
        <f t="shared" si="1"/>
        <v>86900</v>
      </c>
    </row>
    <row r="81" spans="2:10" x14ac:dyDescent="0.55000000000000004">
      <c r="B81">
        <v>1000</v>
      </c>
      <c r="C81" s="1">
        <v>4516552002205</v>
      </c>
      <c r="D81" t="s">
        <v>19</v>
      </c>
      <c r="E81" t="s">
        <v>92</v>
      </c>
      <c r="H81">
        <v>80000</v>
      </c>
      <c r="I81" s="2">
        <v>0.1</v>
      </c>
      <c r="J81">
        <f t="shared" si="1"/>
        <v>88000</v>
      </c>
    </row>
    <row r="82" spans="2:10" x14ac:dyDescent="0.55000000000000004">
      <c r="B82">
        <v>1000</v>
      </c>
      <c r="C82" s="1">
        <v>4516552522550</v>
      </c>
      <c r="D82" t="s">
        <v>19</v>
      </c>
      <c r="E82" t="s">
        <v>93</v>
      </c>
      <c r="H82">
        <v>81000</v>
      </c>
      <c r="I82" s="2">
        <v>0.1</v>
      </c>
      <c r="J82">
        <f t="shared" si="1"/>
        <v>89100</v>
      </c>
    </row>
    <row r="83" spans="2:10" x14ac:dyDescent="0.55000000000000004">
      <c r="B83">
        <v>1000</v>
      </c>
      <c r="C83" s="1">
        <v>4516552208118</v>
      </c>
      <c r="D83" t="s">
        <v>19</v>
      </c>
      <c r="E83" t="s">
        <v>94</v>
      </c>
      <c r="H83">
        <v>82000</v>
      </c>
      <c r="I83" s="2">
        <v>0.1</v>
      </c>
      <c r="J83">
        <f t="shared" si="1"/>
        <v>90200</v>
      </c>
    </row>
    <row r="84" spans="2:10" x14ac:dyDescent="0.55000000000000004">
      <c r="B84">
        <v>1000</v>
      </c>
      <c r="C84" s="1">
        <v>4516552001565</v>
      </c>
      <c r="D84" t="s">
        <v>19</v>
      </c>
      <c r="E84" t="s">
        <v>95</v>
      </c>
      <c r="H84">
        <v>83000</v>
      </c>
      <c r="I84" s="2">
        <v>0.1</v>
      </c>
      <c r="J84">
        <f t="shared" si="1"/>
        <v>91300</v>
      </c>
    </row>
    <row r="85" spans="2:10" x14ac:dyDescent="0.55000000000000004">
      <c r="B85">
        <v>1000</v>
      </c>
      <c r="C85" s="1">
        <v>4516552025220</v>
      </c>
      <c r="D85" t="s">
        <v>19</v>
      </c>
      <c r="E85" t="s">
        <v>96</v>
      </c>
      <c r="H85">
        <v>84000</v>
      </c>
      <c r="I85" s="2">
        <v>0.1</v>
      </c>
      <c r="J85">
        <f t="shared" si="1"/>
        <v>92400</v>
      </c>
    </row>
    <row r="86" spans="2:10" x14ac:dyDescent="0.55000000000000004">
      <c r="B86">
        <v>1000</v>
      </c>
      <c r="C86" s="1">
        <v>4516552203525</v>
      </c>
      <c r="D86" t="s">
        <v>19</v>
      </c>
      <c r="E86" t="s">
        <v>97</v>
      </c>
      <c r="H86">
        <v>85000</v>
      </c>
      <c r="I86" s="2">
        <v>0.1</v>
      </c>
      <c r="J86">
        <f t="shared" si="1"/>
        <v>93500</v>
      </c>
    </row>
    <row r="87" spans="2:10" x14ac:dyDescent="0.55000000000000004">
      <c r="B87">
        <v>1000</v>
      </c>
      <c r="C87" s="1">
        <v>4516552522136</v>
      </c>
      <c r="D87" t="s">
        <v>19</v>
      </c>
      <c r="E87" t="s">
        <v>98</v>
      </c>
      <c r="H87">
        <v>86000</v>
      </c>
      <c r="I87" s="2">
        <v>0.1</v>
      </c>
      <c r="J87">
        <f t="shared" si="1"/>
        <v>94600</v>
      </c>
    </row>
    <row r="88" spans="2:10" x14ac:dyDescent="0.55000000000000004">
      <c r="B88">
        <v>1000</v>
      </c>
      <c r="C88" s="1">
        <v>4516552208846</v>
      </c>
      <c r="D88" t="s">
        <v>19</v>
      </c>
      <c r="E88" t="s">
        <v>99</v>
      </c>
      <c r="H88">
        <v>87000</v>
      </c>
      <c r="I88" s="2">
        <v>0.1</v>
      </c>
      <c r="J88">
        <f t="shared" si="1"/>
        <v>95700</v>
      </c>
    </row>
    <row r="89" spans="2:10" x14ac:dyDescent="0.55000000000000004">
      <c r="B89">
        <v>1000</v>
      </c>
      <c r="C89" s="1">
        <v>4516552001623</v>
      </c>
      <c r="D89" t="s">
        <v>19</v>
      </c>
      <c r="E89" t="s">
        <v>100</v>
      </c>
      <c r="H89">
        <v>88000</v>
      </c>
      <c r="I89" s="2">
        <v>0.1</v>
      </c>
      <c r="J89">
        <f t="shared" si="1"/>
        <v>96800</v>
      </c>
    </row>
    <row r="90" spans="2:10" x14ac:dyDescent="0.55000000000000004">
      <c r="B90">
        <v>1000</v>
      </c>
      <c r="C90" s="1">
        <v>4516552023616</v>
      </c>
      <c r="D90" t="s">
        <v>19</v>
      </c>
      <c r="E90" t="s">
        <v>101</v>
      </c>
      <c r="H90">
        <v>89000</v>
      </c>
      <c r="I90" s="2">
        <v>0.1</v>
      </c>
      <c r="J90">
        <f t="shared" si="1"/>
        <v>97900</v>
      </c>
    </row>
    <row r="91" spans="2:10" x14ac:dyDescent="0.55000000000000004">
      <c r="B91">
        <v>1000</v>
      </c>
      <c r="C91" s="1">
        <v>4516552000551</v>
      </c>
      <c r="D91" t="s">
        <v>19</v>
      </c>
      <c r="E91" t="s">
        <v>102</v>
      </c>
      <c r="H91">
        <v>90000</v>
      </c>
      <c r="I91" s="2">
        <v>0.1</v>
      </c>
      <c r="J91">
        <f t="shared" si="1"/>
        <v>99000</v>
      </c>
    </row>
    <row r="92" spans="2:10" x14ac:dyDescent="0.55000000000000004">
      <c r="B92">
        <v>1000</v>
      </c>
      <c r="C92" s="1">
        <v>4516552220222</v>
      </c>
      <c r="D92" t="s">
        <v>19</v>
      </c>
      <c r="E92" t="s">
        <v>103</v>
      </c>
      <c r="H92">
        <v>91000</v>
      </c>
      <c r="I92" s="2">
        <v>0.1</v>
      </c>
      <c r="J92">
        <f t="shared" si="1"/>
        <v>100100</v>
      </c>
    </row>
    <row r="93" spans="2:10" x14ac:dyDescent="0.55000000000000004">
      <c r="B93">
        <v>1000</v>
      </c>
      <c r="C93" s="1">
        <v>4516552203104</v>
      </c>
      <c r="D93" t="s">
        <v>19</v>
      </c>
      <c r="E93" t="s">
        <v>104</v>
      </c>
      <c r="H93">
        <v>92000</v>
      </c>
      <c r="I93" s="2">
        <v>0.1</v>
      </c>
      <c r="J93">
        <f t="shared" si="1"/>
        <v>101200</v>
      </c>
    </row>
    <row r="94" spans="2:10" x14ac:dyDescent="0.55000000000000004">
      <c r="B94">
        <v>1000</v>
      </c>
      <c r="C94" s="1">
        <v>4516552203122</v>
      </c>
      <c r="D94" t="s">
        <v>19</v>
      </c>
      <c r="E94" t="s">
        <v>105</v>
      </c>
      <c r="H94">
        <v>93000</v>
      </c>
      <c r="I94" s="2">
        <v>0.1</v>
      </c>
      <c r="J94">
        <f t="shared" si="1"/>
        <v>102300</v>
      </c>
    </row>
    <row r="95" spans="2:10" x14ac:dyDescent="0.55000000000000004">
      <c r="B95">
        <v>1000</v>
      </c>
      <c r="C95" s="1">
        <v>4516552203658</v>
      </c>
      <c r="D95" t="s">
        <v>19</v>
      </c>
      <c r="E95" t="s">
        <v>106</v>
      </c>
      <c r="H95">
        <v>94000</v>
      </c>
      <c r="I95" s="2">
        <v>0.1</v>
      </c>
      <c r="J95">
        <f t="shared" si="1"/>
        <v>103400</v>
      </c>
    </row>
    <row r="96" spans="2:10" x14ac:dyDescent="0.55000000000000004">
      <c r="B96">
        <v>1000</v>
      </c>
      <c r="C96" s="1">
        <v>4516552220201</v>
      </c>
      <c r="D96" t="s">
        <v>19</v>
      </c>
      <c r="E96" t="s">
        <v>107</v>
      </c>
      <c r="H96">
        <v>95000</v>
      </c>
      <c r="I96" s="2">
        <v>0.1</v>
      </c>
      <c r="J96">
        <f t="shared" si="1"/>
        <v>104500</v>
      </c>
    </row>
    <row r="97" spans="2:10" x14ac:dyDescent="0.55000000000000004">
      <c r="B97">
        <v>1000</v>
      </c>
      <c r="C97" s="1">
        <v>4516552203885</v>
      </c>
      <c r="D97" t="s">
        <v>19</v>
      </c>
      <c r="E97" t="s">
        <v>108</v>
      </c>
      <c r="H97">
        <v>96000</v>
      </c>
      <c r="I97" s="2">
        <v>0.1</v>
      </c>
      <c r="J97">
        <f t="shared" si="1"/>
        <v>105600</v>
      </c>
    </row>
    <row r="98" spans="2:10" x14ac:dyDescent="0.55000000000000004">
      <c r="B98">
        <v>1000</v>
      </c>
      <c r="C98" s="1">
        <v>4516552522484</v>
      </c>
      <c r="D98" t="s">
        <v>19</v>
      </c>
      <c r="E98" t="s">
        <v>109</v>
      </c>
      <c r="H98">
        <v>97000</v>
      </c>
      <c r="I98" s="2">
        <v>0.1</v>
      </c>
      <c r="J98">
        <f t="shared" si="1"/>
        <v>106700</v>
      </c>
    </row>
    <row r="99" spans="2:10" x14ac:dyDescent="0.55000000000000004">
      <c r="B99">
        <v>1000</v>
      </c>
      <c r="C99" s="1">
        <v>4516552208126</v>
      </c>
      <c r="D99" t="s">
        <v>19</v>
      </c>
      <c r="E99" t="s">
        <v>110</v>
      </c>
      <c r="H99">
        <v>98000</v>
      </c>
      <c r="I99" s="2">
        <v>0.1</v>
      </c>
      <c r="J99">
        <f t="shared" si="1"/>
        <v>107800</v>
      </c>
    </row>
    <row r="100" spans="2:10" x14ac:dyDescent="0.55000000000000004">
      <c r="B100">
        <v>1000</v>
      </c>
      <c r="C100" s="1">
        <v>4516552001452</v>
      </c>
      <c r="D100" t="s">
        <v>19</v>
      </c>
      <c r="E100" t="s">
        <v>111</v>
      </c>
      <c r="H100">
        <v>99000</v>
      </c>
      <c r="I100" s="2">
        <v>0.1</v>
      </c>
      <c r="J100">
        <f t="shared" si="1"/>
        <v>108900</v>
      </c>
    </row>
    <row r="101" spans="2:10" x14ac:dyDescent="0.55000000000000004">
      <c r="B101">
        <v>1000</v>
      </c>
      <c r="C101" s="1">
        <v>4516552024563</v>
      </c>
      <c r="D101" t="s">
        <v>19</v>
      </c>
      <c r="E101" t="s">
        <v>112</v>
      </c>
      <c r="H101">
        <v>100000</v>
      </c>
      <c r="I101" s="2">
        <v>0.1</v>
      </c>
      <c r="J101">
        <f t="shared" si="1"/>
        <v>110000</v>
      </c>
    </row>
    <row r="102" spans="2:10" x14ac:dyDescent="0.55000000000000004">
      <c r="B102">
        <v>1000</v>
      </c>
      <c r="C102" s="1">
        <v>4516552025250</v>
      </c>
      <c r="D102" t="s">
        <v>19</v>
      </c>
      <c r="E102" t="s">
        <v>113</v>
      </c>
      <c r="H102">
        <v>101000</v>
      </c>
      <c r="I102" s="2">
        <v>0.1</v>
      </c>
      <c r="J102">
        <f t="shared" si="1"/>
        <v>111100</v>
      </c>
    </row>
    <row r="103" spans="2:10" x14ac:dyDescent="0.55000000000000004">
      <c r="B103">
        <v>1000</v>
      </c>
      <c r="C103" s="1">
        <v>4516552203564</v>
      </c>
      <c r="D103" t="s">
        <v>19</v>
      </c>
      <c r="E103" t="s">
        <v>114</v>
      </c>
      <c r="H103">
        <v>102000</v>
      </c>
      <c r="I103" s="2">
        <v>0.1</v>
      </c>
      <c r="J103">
        <f t="shared" si="1"/>
        <v>112200</v>
      </c>
    </row>
    <row r="104" spans="2:10" x14ac:dyDescent="0.55000000000000004">
      <c r="B104">
        <v>1000</v>
      </c>
      <c r="C104" s="1">
        <v>4516552234082</v>
      </c>
      <c r="D104" t="s">
        <v>19</v>
      </c>
      <c r="E104" t="s">
        <v>115</v>
      </c>
      <c r="H104">
        <v>103000</v>
      </c>
      <c r="I104" s="2">
        <v>0.1</v>
      </c>
      <c r="J104">
        <f t="shared" si="1"/>
        <v>113300</v>
      </c>
    </row>
    <row r="105" spans="2:10" x14ac:dyDescent="0.55000000000000004">
      <c r="B105">
        <v>1000</v>
      </c>
      <c r="C105" s="1">
        <v>4516552234014</v>
      </c>
      <c r="D105" t="s">
        <v>19</v>
      </c>
      <c r="E105" t="s">
        <v>116</v>
      </c>
      <c r="H105">
        <v>104000</v>
      </c>
      <c r="I105" s="2">
        <v>0.1</v>
      </c>
      <c r="J105">
        <f t="shared" si="1"/>
        <v>114400</v>
      </c>
    </row>
    <row r="106" spans="2:10" x14ac:dyDescent="0.55000000000000004">
      <c r="B106">
        <v>1000</v>
      </c>
      <c r="C106" s="1">
        <v>4516552204025</v>
      </c>
      <c r="D106" t="s">
        <v>19</v>
      </c>
      <c r="E106" t="s">
        <v>117</v>
      </c>
      <c r="H106">
        <v>105000</v>
      </c>
      <c r="I106" s="2">
        <v>0.1</v>
      </c>
      <c r="J106">
        <f t="shared" si="1"/>
        <v>115500</v>
      </c>
    </row>
    <row r="107" spans="2:10" x14ac:dyDescent="0.55000000000000004">
      <c r="B107">
        <v>1000</v>
      </c>
      <c r="C107" s="1">
        <v>4516552204008</v>
      </c>
      <c r="D107" t="s">
        <v>19</v>
      </c>
      <c r="E107" t="s">
        <v>118</v>
      </c>
      <c r="H107">
        <v>106000</v>
      </c>
      <c r="I107" s="2">
        <v>0.1</v>
      </c>
      <c r="J107">
        <f t="shared" si="1"/>
        <v>116600</v>
      </c>
    </row>
    <row r="108" spans="2:10" x14ac:dyDescent="0.55000000000000004">
      <c r="B108">
        <v>1000</v>
      </c>
      <c r="C108" s="1">
        <v>4516552200021</v>
      </c>
      <c r="D108" t="s">
        <v>19</v>
      </c>
      <c r="E108" t="s">
        <v>119</v>
      </c>
      <c r="H108">
        <v>107000</v>
      </c>
      <c r="I108" s="2">
        <v>0.1</v>
      </c>
      <c r="J108">
        <f t="shared" si="1"/>
        <v>117700</v>
      </c>
    </row>
    <row r="109" spans="2:10" x14ac:dyDescent="0.55000000000000004">
      <c r="B109">
        <v>1000</v>
      </c>
      <c r="C109" s="1">
        <v>4516552000315</v>
      </c>
      <c r="D109" t="s">
        <v>19</v>
      </c>
      <c r="E109" t="s">
        <v>120</v>
      </c>
      <c r="H109">
        <v>108000</v>
      </c>
      <c r="I109" s="2">
        <v>0.1</v>
      </c>
      <c r="J109">
        <f t="shared" si="1"/>
        <v>118800</v>
      </c>
    </row>
    <row r="110" spans="2:10" x14ac:dyDescent="0.55000000000000004">
      <c r="B110">
        <v>1000</v>
      </c>
      <c r="C110" s="1">
        <v>4516552000650</v>
      </c>
      <c r="D110" t="s">
        <v>19</v>
      </c>
      <c r="E110" t="s">
        <v>121</v>
      </c>
      <c r="H110">
        <v>109000</v>
      </c>
      <c r="I110" s="2">
        <v>0.1</v>
      </c>
      <c r="J110">
        <f t="shared" si="1"/>
        <v>119900</v>
      </c>
    </row>
    <row r="111" spans="2:10" x14ac:dyDescent="0.55000000000000004">
      <c r="B111">
        <v>1000</v>
      </c>
      <c r="C111" s="1">
        <v>4516552220244</v>
      </c>
      <c r="D111" t="s">
        <v>19</v>
      </c>
      <c r="E111" t="s">
        <v>89</v>
      </c>
      <c r="H111">
        <v>110000</v>
      </c>
      <c r="I111" s="2">
        <v>0.1</v>
      </c>
      <c r="J111">
        <f t="shared" si="1"/>
        <v>121000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B3C9-C57D-4CCC-BCF6-BFA97B7D9AF6}">
  <dimension ref="A1:P601"/>
  <sheetViews>
    <sheetView zoomScaleNormal="100" workbookViewId="0">
      <pane ySplit="1" topLeftCell="A2" activePane="bottomLeft" state="frozen"/>
      <selection activeCell="E1" sqref="E1"/>
      <selection pane="bottomLeft" activeCell="B2" sqref="B2"/>
    </sheetView>
  </sheetViews>
  <sheetFormatPr defaultRowHeight="18" x14ac:dyDescent="0.55000000000000004"/>
  <cols>
    <col min="2" max="2" width="15.58203125" bestFit="1" customWidth="1"/>
    <col min="4" max="4" width="15.33203125" style="1" bestFit="1" customWidth="1"/>
    <col min="6" max="6" width="49.1640625" bestFit="1" customWidth="1"/>
  </cols>
  <sheetData>
    <row r="1" spans="1:16" x14ac:dyDescent="0.55000000000000004">
      <c r="A1" t="s">
        <v>8</v>
      </c>
      <c r="B1" s="1" t="s">
        <v>0</v>
      </c>
      <c r="C1" t="s">
        <v>1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127</v>
      </c>
      <c r="K1" t="s">
        <v>128</v>
      </c>
      <c r="L1" t="s">
        <v>125</v>
      </c>
      <c r="M1" s="4" t="s">
        <v>139</v>
      </c>
      <c r="N1" s="4" t="s">
        <v>130</v>
      </c>
      <c r="O1" s="4" t="s">
        <v>131</v>
      </c>
    </row>
    <row r="2" spans="1:16" x14ac:dyDescent="0.55000000000000004">
      <c r="A2" t="s">
        <v>9</v>
      </c>
      <c r="B2" t="str">
        <f>貼付!$C$2&amp;マスタ登録抽出!A2</f>
        <v>4516552522125-1</v>
      </c>
      <c r="C2">
        <f>貼付!B2</f>
        <v>1000</v>
      </c>
      <c r="D2" s="1">
        <f>貼付!$C$2</f>
        <v>4516552522125</v>
      </c>
      <c r="F2" t="str">
        <f>貼付!E2&amp;"  "&amp;マスタ登録抽出!P2&amp;貼付!$P$2</f>
        <v>かもす 温泉豆乳ﾎﾞﾃﾞｨｿｰﾌﾟ  18L  1個</v>
      </c>
      <c r="I2">
        <f>貼付!$H$2*P2</f>
        <v>1000</v>
      </c>
      <c r="K2">
        <f>IF(D2&gt;=1,ROUNDUP(I2*J2,0)+I2,"")</f>
        <v>1000</v>
      </c>
      <c r="L2">
        <v>500</v>
      </c>
      <c r="M2">
        <v>2000</v>
      </c>
      <c r="P2">
        <v>1</v>
      </c>
    </row>
    <row r="3" spans="1:16" x14ac:dyDescent="0.55000000000000004">
      <c r="A3" t="s">
        <v>10</v>
      </c>
      <c r="B3" t="str">
        <f>貼付!$C$2&amp;マスタ登録抽出!A3</f>
        <v>4516552522125-2</v>
      </c>
      <c r="C3">
        <f>貼付!B3</f>
        <v>1000</v>
      </c>
      <c r="D3" s="1">
        <f>貼付!$C$2</f>
        <v>4516552522125</v>
      </c>
      <c r="F3" t="str">
        <f>貼付!E3&amp;"  "&amp;マスタ登録抽出!P3&amp;貼付!$P$2</f>
        <v>かもす 温泉豆乳ｼｬﾝﾌﾟｰ  18L  2個</v>
      </c>
      <c r="I3">
        <f>貼付!$H$2*P3</f>
        <v>2000</v>
      </c>
      <c r="K3">
        <f>IF(D3&gt;=1,ROUNDUP(I3*J3,0)+I3,"")</f>
        <v>2000</v>
      </c>
      <c r="L3">
        <v>1000</v>
      </c>
      <c r="M3">
        <v>3600</v>
      </c>
      <c r="P3">
        <v>2</v>
      </c>
    </row>
    <row r="4" spans="1:16" x14ac:dyDescent="0.55000000000000004">
      <c r="A4" t="s">
        <v>11</v>
      </c>
      <c r="B4" t="str">
        <f>貼付!$C$2&amp;マスタ登録抽出!A4</f>
        <v>4516552522125-3</v>
      </c>
      <c r="C4">
        <f>貼付!B4</f>
        <v>1000</v>
      </c>
      <c r="D4" s="1">
        <f>貼付!$C$2</f>
        <v>4516552522125</v>
      </c>
      <c r="F4" t="str">
        <f>貼付!E4&amp;"  "&amp;マスタ登録抽出!P4&amp;貼付!$P$2</f>
        <v>かもす 温泉豆乳ｺﾝﾃﾞｨｼｮﾅｰ  18L  3個</v>
      </c>
      <c r="I4">
        <f>貼付!$H$2*P4</f>
        <v>3000</v>
      </c>
      <c r="K4">
        <f t="shared" ref="K3:K31" si="0">IF(D4&gt;=1,ROUNDUP(I4*J4,0)+I4,"")</f>
        <v>3000</v>
      </c>
      <c r="L4">
        <v>1500</v>
      </c>
      <c r="P4">
        <v>3</v>
      </c>
    </row>
    <row r="5" spans="1:16" x14ac:dyDescent="0.55000000000000004">
      <c r="A5" t="s">
        <v>12</v>
      </c>
      <c r="B5" t="str">
        <f>貼付!$C$2&amp;マスタ登録抽出!A5</f>
        <v>4516552522125-4</v>
      </c>
      <c r="C5">
        <f>貼付!B5</f>
        <v>1000</v>
      </c>
      <c r="D5" s="1">
        <f>貼付!$C$2</f>
        <v>4516552522125</v>
      </c>
      <c r="F5" t="str">
        <f>貼付!E5&amp;"  "&amp;マスタ登録抽出!P5&amp;貼付!$P$2</f>
        <v>花蜜精みつばちﾊﾆｰﾎﾞﾃﾞｨｿｰﾌﾟ  18L  4個</v>
      </c>
      <c r="I5">
        <f>貼付!$H$2*P5</f>
        <v>4000</v>
      </c>
      <c r="K5">
        <f t="shared" si="0"/>
        <v>4000</v>
      </c>
      <c r="L5">
        <v>2000</v>
      </c>
      <c r="P5">
        <v>4</v>
      </c>
    </row>
    <row r="6" spans="1:16" x14ac:dyDescent="0.55000000000000004">
      <c r="A6" t="s">
        <v>13</v>
      </c>
      <c r="B6" t="str">
        <f>貼付!$C$2&amp;マスタ登録抽出!A6</f>
        <v>4516552522125-5</v>
      </c>
      <c r="C6">
        <f>貼付!B6</f>
        <v>1000</v>
      </c>
      <c r="D6" s="1">
        <f>貼付!$C$2</f>
        <v>4516552522125</v>
      </c>
      <c r="F6" t="str">
        <f>貼付!E6&amp;"  "&amp;マスタ登録抽出!P6&amp;貼付!$P$2</f>
        <v>花蜜精みつばちﾊﾆｰﾄﾘｰﾄﾒﾝﾄｼｬﾝﾌﾟｰ  18L  5個</v>
      </c>
      <c r="I6">
        <f>貼付!$H$2*P6</f>
        <v>5000</v>
      </c>
      <c r="K6">
        <f t="shared" si="0"/>
        <v>5000</v>
      </c>
      <c r="L6">
        <v>2500</v>
      </c>
      <c r="P6">
        <v>5</v>
      </c>
    </row>
    <row r="7" spans="1:16" x14ac:dyDescent="0.55000000000000004">
      <c r="A7" t="s">
        <v>14</v>
      </c>
      <c r="B7" t="str">
        <f>貼付!$C$2&amp;マスタ登録抽出!A7</f>
        <v>4516552522125-6</v>
      </c>
      <c r="C7">
        <f>貼付!B7</f>
        <v>1000</v>
      </c>
      <c r="D7" s="1">
        <f>貼付!$C$2</f>
        <v>4516552522125</v>
      </c>
      <c r="F7" t="str">
        <f>貼付!E7&amp;"  "&amp;マスタ登録抽出!P7&amp;貼付!$P$2</f>
        <v>花蜜精みつばちﾊﾆｰﾍｱｺﾝﾃﾞｨｼｮﾅｰ  18L  6個</v>
      </c>
      <c r="I7">
        <f>貼付!$H$2*P7</f>
        <v>6000</v>
      </c>
      <c r="K7">
        <f t="shared" si="0"/>
        <v>6000</v>
      </c>
      <c r="L7">
        <v>3000</v>
      </c>
      <c r="P7">
        <v>6</v>
      </c>
    </row>
    <row r="8" spans="1:16" x14ac:dyDescent="0.55000000000000004">
      <c r="A8" t="s">
        <v>15</v>
      </c>
      <c r="B8" t="str">
        <f>貼付!$C$2&amp;マスタ登録抽出!A8</f>
        <v>4516552522125-7</v>
      </c>
      <c r="C8">
        <f>貼付!B8</f>
        <v>1000</v>
      </c>
      <c r="D8" s="1">
        <f>貼付!$C$2</f>
        <v>4516552522125</v>
      </c>
      <c r="F8" t="str">
        <f>貼付!E8&amp;"  "&amp;マスタ登録抽出!P8&amp;貼付!$P$2</f>
        <v>自然にやさしいﾎﾞﾃﾞｨｿｰﾌﾟ  18L  7個</v>
      </c>
      <c r="I8">
        <f>貼付!$H$2*P8</f>
        <v>7000</v>
      </c>
      <c r="K8">
        <f t="shared" si="0"/>
        <v>7000</v>
      </c>
      <c r="L8">
        <v>3500</v>
      </c>
      <c r="P8">
        <v>7</v>
      </c>
    </row>
    <row r="9" spans="1:16" x14ac:dyDescent="0.55000000000000004">
      <c r="A9" t="s">
        <v>16</v>
      </c>
      <c r="B9" t="str">
        <f>貼付!$C$2&amp;マスタ登録抽出!A9</f>
        <v>4516552522125-8</v>
      </c>
      <c r="C9">
        <f>貼付!B9</f>
        <v>1000</v>
      </c>
      <c r="D9" s="1">
        <f>貼付!$C$2</f>
        <v>4516552522125</v>
      </c>
      <c r="F9" t="str">
        <f>貼付!E9&amp;"  "&amp;マスタ登録抽出!P9&amp;貼付!$P$2</f>
        <v>自然にやさしいﾘﾝｽｲﾝｼｬﾝﾌﾟｰ  18L  8個</v>
      </c>
      <c r="I9">
        <f>貼付!$H$2*P9</f>
        <v>8000</v>
      </c>
      <c r="K9">
        <f t="shared" si="0"/>
        <v>8000</v>
      </c>
      <c r="L9">
        <v>4000</v>
      </c>
      <c r="P9">
        <v>8</v>
      </c>
    </row>
    <row r="10" spans="1:16" x14ac:dyDescent="0.55000000000000004">
      <c r="A10" t="s">
        <v>17</v>
      </c>
      <c r="B10" t="str">
        <f>貼付!$C$2&amp;マスタ登録抽出!A10</f>
        <v>4516552522125-9</v>
      </c>
      <c r="C10">
        <f>貼付!B10</f>
        <v>1000</v>
      </c>
      <c r="D10" s="1">
        <f>貼付!$C$2</f>
        <v>4516552522125</v>
      </c>
      <c r="F10" t="str">
        <f>貼付!E10&amp;"  "&amp;マスタ登録抽出!P10&amp;貼付!$P$2</f>
        <v>ﾐｵﾎﾞﾃﾞｨｿｰﾌﾟ  18L×1  9個</v>
      </c>
      <c r="I10">
        <f>貼付!$H$2*P10</f>
        <v>9000</v>
      </c>
      <c r="K10">
        <f t="shared" si="0"/>
        <v>9000</v>
      </c>
      <c r="L10">
        <v>4500</v>
      </c>
      <c r="P10">
        <v>9</v>
      </c>
    </row>
    <row r="11" spans="1:16" x14ac:dyDescent="0.55000000000000004">
      <c r="A11" t="s">
        <v>18</v>
      </c>
      <c r="B11" t="str">
        <f>貼付!$C$2&amp;マスタ登録抽出!A11</f>
        <v>4516552522125-10</v>
      </c>
      <c r="C11">
        <f>貼付!B11</f>
        <v>1000</v>
      </c>
      <c r="D11" s="1">
        <f>貼付!$C$2</f>
        <v>4516552522125</v>
      </c>
      <c r="F11" t="str">
        <f>貼付!E11&amp;"  "&amp;マスタ登録抽出!P11&amp;貼付!$P$2</f>
        <v>ﾐｵﾘﾝｽｲﾝｼｬﾝﾌﾟｰ 18L×1  10個</v>
      </c>
      <c r="I11">
        <f>貼付!$H$2*P11</f>
        <v>10000</v>
      </c>
      <c r="K11">
        <f t="shared" si="0"/>
        <v>10000</v>
      </c>
      <c r="L11">
        <v>5000</v>
      </c>
      <c r="P11">
        <v>10</v>
      </c>
    </row>
    <row r="12" spans="1:16" x14ac:dyDescent="0.55000000000000004">
      <c r="A12" t="s">
        <v>9</v>
      </c>
      <c r="B12" t="str">
        <f>貼付!$C$2&amp;マスタ登録抽出!A12</f>
        <v>4516552522125-1</v>
      </c>
      <c r="C12">
        <f>貼付!B12</f>
        <v>1000</v>
      </c>
      <c r="D12" s="1">
        <f>貼付!$C$3</f>
        <v>4516552208835</v>
      </c>
      <c r="F12" t="str">
        <f>貼付!E12&amp;"  "&amp;マスタ登録抽出!P12&amp;貼付!$P$3</f>
        <v>ﾐｵﾎﾞﾃﾞｨｿｰﾌﾟ 詰替用CBX  1000mL×8本  1個</v>
      </c>
      <c r="I12">
        <f>貼付!$H$3*P2</f>
        <v>2000</v>
      </c>
      <c r="K12">
        <f t="shared" si="0"/>
        <v>2000</v>
      </c>
      <c r="P12">
        <v>1</v>
      </c>
    </row>
    <row r="13" spans="1:16" x14ac:dyDescent="0.55000000000000004">
      <c r="A13" t="s">
        <v>10</v>
      </c>
      <c r="B13" t="str">
        <f>貼付!$C$2&amp;マスタ登録抽出!A13</f>
        <v>4516552522125-2</v>
      </c>
      <c r="C13">
        <f>貼付!B13</f>
        <v>1000</v>
      </c>
      <c r="D13" s="1">
        <f>貼付!$C$3</f>
        <v>4516552208835</v>
      </c>
      <c r="F13" t="str">
        <f>貼付!E13&amp;"  "&amp;マスタ登録抽出!P13&amp;貼付!$P$3</f>
        <v>ﾐｵﾘﾝｽｲﾝｼｬﾝﾌﾟｰ  詰替用CBX  1000mL×8本  2個</v>
      </c>
      <c r="I13">
        <f>貼付!$H$3*P3</f>
        <v>4000</v>
      </c>
      <c r="K13">
        <f t="shared" si="0"/>
        <v>4000</v>
      </c>
      <c r="P13">
        <v>2</v>
      </c>
    </row>
    <row r="14" spans="1:16" x14ac:dyDescent="0.55000000000000004">
      <c r="A14" t="s">
        <v>11</v>
      </c>
      <c r="B14" t="str">
        <f>貼付!$C$2&amp;マスタ登録抽出!A14</f>
        <v>4516552522125-3</v>
      </c>
      <c r="C14">
        <f>貼付!B14</f>
        <v>1000</v>
      </c>
      <c r="D14" s="1">
        <f>貼付!$C$3</f>
        <v>4516552208835</v>
      </c>
      <c r="F14" t="str">
        <f>貼付!E14&amp;"  "&amp;マスタ登録抽出!P14&amp;貼付!$P$3</f>
        <v>ﾊｰﾌﾞﾎﾞﾃﾞｨｿｰﾌﾟ  18L×1  3個</v>
      </c>
      <c r="I14">
        <f>貼付!$H$3*P4</f>
        <v>6000</v>
      </c>
      <c r="K14">
        <f t="shared" si="0"/>
        <v>6000</v>
      </c>
      <c r="P14">
        <v>3</v>
      </c>
    </row>
    <row r="15" spans="1:16" x14ac:dyDescent="0.55000000000000004">
      <c r="A15" t="s">
        <v>12</v>
      </c>
      <c r="B15" t="str">
        <f>貼付!$C$2&amp;マスタ登録抽出!A15</f>
        <v>4516552522125-4</v>
      </c>
      <c r="C15">
        <f>貼付!B15</f>
        <v>1000</v>
      </c>
      <c r="D15" s="1">
        <f>貼付!$C$3</f>
        <v>4516552208835</v>
      </c>
      <c r="F15" t="str">
        <f>貼付!E15&amp;"  "&amp;マスタ登録抽出!P15&amp;貼付!$P$3</f>
        <v>ﾊｰﾌﾞﾘﾝｽｲﾝｼｬﾝﾌﾟｰ  18L×1  4個</v>
      </c>
      <c r="I15">
        <f>貼付!$H$3*P5</f>
        <v>8000</v>
      </c>
      <c r="K15">
        <f t="shared" si="0"/>
        <v>8000</v>
      </c>
      <c r="P15">
        <v>4</v>
      </c>
    </row>
    <row r="16" spans="1:16" x14ac:dyDescent="0.55000000000000004">
      <c r="A16" t="s">
        <v>13</v>
      </c>
      <c r="B16" t="str">
        <f>貼付!$C$2&amp;マスタ登録抽出!A16</f>
        <v>4516552522125-5</v>
      </c>
      <c r="C16">
        <f>貼付!B16</f>
        <v>1000</v>
      </c>
      <c r="D16" s="1">
        <f>貼付!$C$3</f>
        <v>4516552208835</v>
      </c>
      <c r="F16" t="str">
        <f>貼付!E16&amp;"  "&amp;マスタ登録抽出!P16&amp;貼付!$P$3</f>
        <v>ﾊｰﾌﾞﾎﾞﾃﾞｨｿｰﾌﾟ  4L×4本  5個</v>
      </c>
      <c r="I16">
        <f>貼付!$H$3*P6</f>
        <v>10000</v>
      </c>
      <c r="K16">
        <f t="shared" si="0"/>
        <v>10000</v>
      </c>
      <c r="P16">
        <v>5</v>
      </c>
    </row>
    <row r="17" spans="1:16" x14ac:dyDescent="0.55000000000000004">
      <c r="A17" t="s">
        <v>14</v>
      </c>
      <c r="B17" t="str">
        <f>貼付!$C$2&amp;マスタ登録抽出!A17</f>
        <v>4516552522125-6</v>
      </c>
      <c r="C17">
        <f>貼付!B17</f>
        <v>1000</v>
      </c>
      <c r="D17" s="1">
        <f>貼付!$C$3</f>
        <v>4516552208835</v>
      </c>
      <c r="F17" t="str">
        <f>貼付!E17&amp;"  "&amp;マスタ登録抽出!P17&amp;貼付!$P$3</f>
        <v>ﾊｰﾌﾞﾘﾝｽｲﾝｼｬﾝﾌﾟｰ  4L×4本  6個</v>
      </c>
      <c r="I17">
        <f>貼付!$H$3*P7</f>
        <v>12000</v>
      </c>
      <c r="K17">
        <f t="shared" si="0"/>
        <v>12000</v>
      </c>
      <c r="P17">
        <v>6</v>
      </c>
    </row>
    <row r="18" spans="1:16" x14ac:dyDescent="0.55000000000000004">
      <c r="A18" t="s">
        <v>15</v>
      </c>
      <c r="B18" t="str">
        <f>貼付!$C$2&amp;マスタ登録抽出!A18</f>
        <v>4516552522125-7</v>
      </c>
      <c r="C18">
        <f>貼付!B18</f>
        <v>1000</v>
      </c>
      <c r="D18" s="1">
        <f>貼付!$C$3</f>
        <v>4516552208835</v>
      </c>
      <c r="F18" t="str">
        <f>貼付!E18&amp;"  "&amp;マスタ登録抽出!P18&amp;貼付!$P$3</f>
        <v>ﾊｰﾌﾞﾎﾞﾃﾞｨｿｰﾌﾟ  1000mL×12本  7個</v>
      </c>
      <c r="I18">
        <f>貼付!$H$3*P8</f>
        <v>14000</v>
      </c>
      <c r="K18">
        <f t="shared" si="0"/>
        <v>14000</v>
      </c>
      <c r="P18">
        <v>7</v>
      </c>
    </row>
    <row r="19" spans="1:16" x14ac:dyDescent="0.55000000000000004">
      <c r="A19" t="s">
        <v>16</v>
      </c>
      <c r="B19" t="str">
        <f>貼付!$C$2&amp;マスタ登録抽出!A19</f>
        <v>4516552522125-8</v>
      </c>
      <c r="C19">
        <f>貼付!B19</f>
        <v>1000</v>
      </c>
      <c r="D19" s="1">
        <f>貼付!$C$3</f>
        <v>4516552208835</v>
      </c>
      <c r="F19" t="str">
        <f>貼付!E19&amp;"  "&amp;マスタ登録抽出!P19&amp;貼付!$P$3</f>
        <v>ﾊｰﾌﾞﾘﾝｽｲﾝｼｬﾝﾌﾟｰ  1000mL×12本  8個</v>
      </c>
      <c r="I19">
        <f>貼付!$H$3*P9</f>
        <v>16000</v>
      </c>
      <c r="K19">
        <f t="shared" si="0"/>
        <v>16000</v>
      </c>
      <c r="P19">
        <v>8</v>
      </c>
    </row>
    <row r="20" spans="1:16" x14ac:dyDescent="0.55000000000000004">
      <c r="A20" t="s">
        <v>17</v>
      </c>
      <c r="B20" t="str">
        <f>貼付!$C$2&amp;マスタ登録抽出!A20</f>
        <v>4516552522125-9</v>
      </c>
      <c r="C20">
        <f>貼付!B20</f>
        <v>1000</v>
      </c>
      <c r="D20" s="1">
        <f>貼付!$C$3</f>
        <v>4516552208835</v>
      </c>
      <c r="F20" t="str">
        <f>貼付!E20&amp;"  "&amp;マスタ登録抽出!P20&amp;貼付!$P$3</f>
        <v>やさしいﾎﾞﾃﾞｨｿｰﾌﾟ  18L×1  9個</v>
      </c>
      <c r="I20">
        <f>貼付!$H$3*P10</f>
        <v>18000</v>
      </c>
      <c r="K20">
        <f t="shared" si="0"/>
        <v>18000</v>
      </c>
      <c r="P20">
        <v>9</v>
      </c>
    </row>
    <row r="21" spans="1:16" x14ac:dyDescent="0.55000000000000004">
      <c r="A21" t="s">
        <v>18</v>
      </c>
      <c r="B21" t="str">
        <f>貼付!$C$2&amp;マスタ登録抽出!A21</f>
        <v>4516552522125-10</v>
      </c>
      <c r="C21">
        <f>貼付!B21</f>
        <v>1000</v>
      </c>
      <c r="D21" s="1">
        <f>貼付!$C$3</f>
        <v>4516552208835</v>
      </c>
      <c r="F21" t="str">
        <f>貼付!E21&amp;"  "&amp;マスタ登録抽出!P21&amp;貼付!$P$3</f>
        <v>やさしいﾘﾝｽｲﾝｼｬﾝﾌﾟｰ  18L×1  10個</v>
      </c>
      <c r="I21">
        <f>貼付!$H$3*P11</f>
        <v>20000</v>
      </c>
      <c r="K21">
        <f t="shared" si="0"/>
        <v>20000</v>
      </c>
      <c r="P21">
        <v>10</v>
      </c>
    </row>
    <row r="22" spans="1:16" x14ac:dyDescent="0.55000000000000004">
      <c r="A22" t="s">
        <v>9</v>
      </c>
      <c r="B22" t="str">
        <f>貼付!$C$2&amp;マスタ登録抽出!A22</f>
        <v>4516552522125-1</v>
      </c>
      <c r="C22">
        <f>貼付!B22</f>
        <v>1000</v>
      </c>
      <c r="D22" s="1">
        <f>貼付!$C$4</f>
        <v>4516552001606</v>
      </c>
      <c r="F22" t="str">
        <f>貼付!E22&amp;"  "&amp;マスタ登録抽出!P22&amp;貼付!$P$4</f>
        <v>やさしいﾍｱｼｬﾝﾌﾟｰ  18L×1  1セット</v>
      </c>
      <c r="I22">
        <f>貼付!$H$4*P12</f>
        <v>3000</v>
      </c>
      <c r="K22">
        <f t="shared" si="0"/>
        <v>3000</v>
      </c>
      <c r="P22">
        <v>1</v>
      </c>
    </row>
    <row r="23" spans="1:16" x14ac:dyDescent="0.55000000000000004">
      <c r="A23" t="s">
        <v>10</v>
      </c>
      <c r="B23" t="str">
        <f>貼付!$C$2&amp;マスタ登録抽出!A23</f>
        <v>4516552522125-2</v>
      </c>
      <c r="C23">
        <f>貼付!B23</f>
        <v>1000</v>
      </c>
      <c r="D23" s="1">
        <f>貼付!$C$4</f>
        <v>4516552001606</v>
      </c>
      <c r="F23" t="str">
        <f>貼付!E23&amp;"  "&amp;マスタ登録抽出!P23&amp;貼付!$P$4</f>
        <v>やさしいﾍｱﾘﾝｽ  18L×1  2セット</v>
      </c>
      <c r="I23">
        <f>貼付!$H$4*P13</f>
        <v>6000</v>
      </c>
      <c r="K23">
        <f t="shared" si="0"/>
        <v>6000</v>
      </c>
      <c r="P23">
        <v>2</v>
      </c>
    </row>
    <row r="24" spans="1:16" x14ac:dyDescent="0.55000000000000004">
      <c r="A24" t="s">
        <v>11</v>
      </c>
      <c r="B24" t="str">
        <f>貼付!$C$2&amp;マスタ登録抽出!A24</f>
        <v>4516552522125-3</v>
      </c>
      <c r="C24">
        <f>貼付!B24</f>
        <v>1000</v>
      </c>
      <c r="D24" s="1">
        <f>貼付!$C$4</f>
        <v>4516552001606</v>
      </c>
      <c r="F24" t="str">
        <f>貼付!E24&amp;"  "&amp;マスタ登録抽出!P24&amp;貼付!$P$4</f>
        <v>馬油さくらﾎﾞﾃﾞｨｿｰﾌﾟ  18L×1  3セット</v>
      </c>
      <c r="I24">
        <f>貼付!$H$4*P14</f>
        <v>9000</v>
      </c>
      <c r="K24">
        <f t="shared" si="0"/>
        <v>9000</v>
      </c>
      <c r="P24">
        <v>3</v>
      </c>
    </row>
    <row r="25" spans="1:16" x14ac:dyDescent="0.55000000000000004">
      <c r="A25" t="s">
        <v>12</v>
      </c>
      <c r="B25" t="str">
        <f>貼付!$C$2&amp;マスタ登録抽出!A25</f>
        <v>4516552522125-4</v>
      </c>
      <c r="C25">
        <f>貼付!B25</f>
        <v>1000</v>
      </c>
      <c r="D25" s="1">
        <f>貼付!$C$4</f>
        <v>4516552001606</v>
      </c>
      <c r="F25" t="str">
        <f>貼付!E25&amp;"  "&amp;マスタ登録抽出!P25&amp;貼付!$P$4</f>
        <v>馬油さくらｼｬﾝﾌﾟｰ  18L×1  4セット</v>
      </c>
      <c r="I25">
        <f>貼付!$H$4*P15</f>
        <v>12000</v>
      </c>
      <c r="K25">
        <f t="shared" si="0"/>
        <v>12000</v>
      </c>
      <c r="P25">
        <v>4</v>
      </c>
    </row>
    <row r="26" spans="1:16" x14ac:dyDescent="0.55000000000000004">
      <c r="A26" t="s">
        <v>13</v>
      </c>
      <c r="B26" t="str">
        <f>貼付!$C$2&amp;マスタ登録抽出!A26</f>
        <v>4516552522125-5</v>
      </c>
      <c r="C26">
        <f>貼付!B26</f>
        <v>1000</v>
      </c>
      <c r="D26" s="1">
        <f>貼付!$C$4</f>
        <v>4516552001606</v>
      </c>
      <c r="F26" t="str">
        <f>貼付!E26&amp;"  "&amp;マスタ登録抽出!P26&amp;貼付!$P$4</f>
        <v>馬油さくらｺﾝﾃﾞｨｼｮﾅｰ  18L×1  5セット</v>
      </c>
      <c r="I26">
        <f>貼付!$H$4*P16</f>
        <v>15000</v>
      </c>
      <c r="K26">
        <f t="shared" si="0"/>
        <v>15000</v>
      </c>
      <c r="P26">
        <v>5</v>
      </c>
    </row>
    <row r="27" spans="1:16" x14ac:dyDescent="0.55000000000000004">
      <c r="A27" t="s">
        <v>14</v>
      </c>
      <c r="B27" t="str">
        <f>貼付!$C$2&amp;マスタ登録抽出!A27</f>
        <v>4516552522125-6</v>
      </c>
      <c r="C27">
        <f>貼付!B27</f>
        <v>1000</v>
      </c>
      <c r="D27" s="1">
        <f>貼付!$C$4</f>
        <v>4516552001606</v>
      </c>
      <c r="F27" t="str">
        <f>貼付!E27&amp;"  "&amp;マスタ登録抽出!P27&amp;貼付!$P$4</f>
        <v>業務用入浴剤｢ﾕｽﾞ｣15kg(7.5kg×2)  7.5kg×2×1  6セット</v>
      </c>
      <c r="I27">
        <f>貼付!$H$4*P17</f>
        <v>18000</v>
      </c>
      <c r="K27">
        <f t="shared" si="0"/>
        <v>18000</v>
      </c>
      <c r="P27">
        <v>6</v>
      </c>
    </row>
    <row r="28" spans="1:16" x14ac:dyDescent="0.55000000000000004">
      <c r="A28" t="s">
        <v>15</v>
      </c>
      <c r="B28" t="str">
        <f>貼付!$C$2&amp;マスタ登録抽出!A28</f>
        <v>4516552522125-7</v>
      </c>
      <c r="C28">
        <f>貼付!B28</f>
        <v>1000</v>
      </c>
      <c r="D28" s="1">
        <f>貼付!$C$4</f>
        <v>4516552001606</v>
      </c>
      <c r="F28" t="str">
        <f>貼付!E28&amp;"  "&amp;マスタ登録抽出!P28&amp;貼付!$P$4</f>
        <v>業務用入浴剤｢ｻｸﾗ｣15kg(7.5kg×2)  7.5kg×2×1  7セット</v>
      </c>
      <c r="I28">
        <f>貼付!$H$4*P18</f>
        <v>21000</v>
      </c>
      <c r="K28">
        <f t="shared" si="0"/>
        <v>21000</v>
      </c>
      <c r="P28">
        <v>7</v>
      </c>
    </row>
    <row r="29" spans="1:16" x14ac:dyDescent="0.55000000000000004">
      <c r="A29" t="s">
        <v>16</v>
      </c>
      <c r="B29" t="str">
        <f>貼付!$C$2&amp;マスタ登録抽出!A29</f>
        <v>4516552522125-8</v>
      </c>
      <c r="C29">
        <f>貼付!B29</f>
        <v>1000</v>
      </c>
      <c r="D29" s="1">
        <f>貼付!$C$4</f>
        <v>4516552001606</v>
      </c>
      <c r="F29" t="str">
        <f>貼付!E29&amp;"  "&amp;マスタ登録抽出!P29&amp;貼付!$P$4</f>
        <v>業務用入浴剤｢ﾖﾓｷﾞ｣15kg(7.5kg×2)  7.5kg×2×1  8セット</v>
      </c>
      <c r="I29">
        <f>貼付!$H$4*P19</f>
        <v>24000</v>
      </c>
      <c r="K29">
        <f t="shared" si="0"/>
        <v>24000</v>
      </c>
      <c r="P29">
        <v>8</v>
      </c>
    </row>
    <row r="30" spans="1:16" x14ac:dyDescent="0.55000000000000004">
      <c r="A30" t="s">
        <v>17</v>
      </c>
      <c r="B30" t="str">
        <f>貼付!$C$2&amp;マスタ登録抽出!A30</f>
        <v>4516552522125-9</v>
      </c>
      <c r="C30">
        <f>貼付!B30</f>
        <v>1000</v>
      </c>
      <c r="D30" s="1">
        <f>貼付!$C$4</f>
        <v>4516552001606</v>
      </c>
      <c r="F30" t="str">
        <f>貼付!E30&amp;"  "&amp;マスタ登録抽出!P30&amp;貼付!$P$4</f>
        <v>業務用入浴剤｢ﾛｰｽﾞ｣15kg(7.5kg×2)  7.5kg×2×1  9セット</v>
      </c>
      <c r="I30">
        <f>貼付!$H$4*P20</f>
        <v>27000</v>
      </c>
      <c r="K30">
        <f t="shared" si="0"/>
        <v>27000</v>
      </c>
      <c r="P30">
        <v>9</v>
      </c>
    </row>
    <row r="31" spans="1:16" x14ac:dyDescent="0.55000000000000004">
      <c r="A31" t="s">
        <v>18</v>
      </c>
      <c r="B31" t="str">
        <f>貼付!$C$2&amp;マスタ登録抽出!A31</f>
        <v>4516552522125-10</v>
      </c>
      <c r="C31">
        <f>貼付!B31</f>
        <v>1000</v>
      </c>
      <c r="D31" s="1">
        <f>貼付!$C$4</f>
        <v>4516552001606</v>
      </c>
      <c r="F31" t="str">
        <f>貼付!E31&amp;"  "&amp;マスタ登録抽出!P31&amp;貼付!$P$4</f>
        <v>業務用入浴剤｢ﾐﾝﾄ｣15kg(7.5kg×2)  7.5kg×2×1  10セット</v>
      </c>
      <c r="I31">
        <f>貼付!$H$4*P21</f>
        <v>30000</v>
      </c>
      <c r="K31">
        <f t="shared" si="0"/>
        <v>30000</v>
      </c>
      <c r="P31">
        <v>10</v>
      </c>
    </row>
    <row r="92" spans="1:16" x14ac:dyDescent="0.55000000000000004">
      <c r="A92" t="s">
        <v>9</v>
      </c>
      <c r="B92" t="str">
        <f>貼付!$C$2&amp;マスタ登録抽出!A92</f>
        <v>4516552522125-1</v>
      </c>
      <c r="K92" t="str">
        <f t="shared" ref="K92:K111" si="1">IF(D92&gt;=1,ROUNDUP(I92*J92,0)+I92,"")</f>
        <v/>
      </c>
      <c r="P92">
        <v>1</v>
      </c>
    </row>
    <row r="93" spans="1:16" x14ac:dyDescent="0.55000000000000004">
      <c r="A93" t="s">
        <v>10</v>
      </c>
      <c r="B93" t="str">
        <f>貼付!$C$2&amp;マスタ登録抽出!A93</f>
        <v>4516552522125-2</v>
      </c>
      <c r="K93" t="str">
        <f t="shared" si="1"/>
        <v/>
      </c>
      <c r="P93">
        <v>2</v>
      </c>
    </row>
    <row r="94" spans="1:16" x14ac:dyDescent="0.55000000000000004">
      <c r="A94" t="s">
        <v>11</v>
      </c>
      <c r="B94" t="str">
        <f>貼付!$C$2&amp;マスタ登録抽出!A94</f>
        <v>4516552522125-3</v>
      </c>
      <c r="K94" t="str">
        <f t="shared" si="1"/>
        <v/>
      </c>
      <c r="P94">
        <v>3</v>
      </c>
    </row>
    <row r="95" spans="1:16" x14ac:dyDescent="0.55000000000000004">
      <c r="A95" t="s">
        <v>12</v>
      </c>
      <c r="B95" t="str">
        <f>貼付!$C$2&amp;マスタ登録抽出!A95</f>
        <v>4516552522125-4</v>
      </c>
      <c r="K95" t="str">
        <f t="shared" si="1"/>
        <v/>
      </c>
      <c r="P95">
        <v>4</v>
      </c>
    </row>
    <row r="96" spans="1:16" x14ac:dyDescent="0.55000000000000004">
      <c r="A96" t="s">
        <v>13</v>
      </c>
      <c r="B96" t="str">
        <f>貼付!$C$2&amp;マスタ登録抽出!A96</f>
        <v>4516552522125-5</v>
      </c>
      <c r="K96" t="str">
        <f t="shared" si="1"/>
        <v/>
      </c>
      <c r="P96">
        <v>5</v>
      </c>
    </row>
    <row r="97" spans="1:16" x14ac:dyDescent="0.55000000000000004">
      <c r="A97" t="s">
        <v>14</v>
      </c>
      <c r="B97" t="str">
        <f>貼付!$C$2&amp;マスタ登録抽出!A97</f>
        <v>4516552522125-6</v>
      </c>
      <c r="K97" t="str">
        <f t="shared" si="1"/>
        <v/>
      </c>
      <c r="P97">
        <v>6</v>
      </c>
    </row>
    <row r="98" spans="1:16" x14ac:dyDescent="0.55000000000000004">
      <c r="A98" t="s">
        <v>15</v>
      </c>
      <c r="B98" t="str">
        <f>貼付!$C$2&amp;マスタ登録抽出!A98</f>
        <v>4516552522125-7</v>
      </c>
      <c r="K98" t="str">
        <f t="shared" si="1"/>
        <v/>
      </c>
      <c r="P98">
        <v>7</v>
      </c>
    </row>
    <row r="99" spans="1:16" x14ac:dyDescent="0.55000000000000004">
      <c r="A99" t="s">
        <v>16</v>
      </c>
      <c r="B99" t="str">
        <f>貼付!$C$2&amp;マスタ登録抽出!A99</f>
        <v>4516552522125-8</v>
      </c>
      <c r="K99" t="str">
        <f t="shared" si="1"/>
        <v/>
      </c>
      <c r="P99">
        <v>8</v>
      </c>
    </row>
    <row r="100" spans="1:16" x14ac:dyDescent="0.55000000000000004">
      <c r="A100" t="s">
        <v>17</v>
      </c>
      <c r="B100" t="str">
        <f>貼付!$C$2&amp;マスタ登録抽出!A100</f>
        <v>4516552522125-9</v>
      </c>
      <c r="K100" t="str">
        <f t="shared" si="1"/>
        <v/>
      </c>
      <c r="P100">
        <v>9</v>
      </c>
    </row>
    <row r="101" spans="1:16" x14ac:dyDescent="0.55000000000000004">
      <c r="A101" t="s">
        <v>18</v>
      </c>
      <c r="B101" t="str">
        <f>貼付!$C$2&amp;マスタ登録抽出!A101</f>
        <v>4516552522125-10</v>
      </c>
      <c r="K101" t="str">
        <f t="shared" si="1"/>
        <v/>
      </c>
      <c r="P101">
        <v>10</v>
      </c>
    </row>
    <row r="102" spans="1:16" x14ac:dyDescent="0.55000000000000004">
      <c r="A102" t="s">
        <v>9</v>
      </c>
      <c r="B102" t="str">
        <f>貼付!$C$2&amp;マスタ登録抽出!A102</f>
        <v>4516552522125-1</v>
      </c>
      <c r="K102" t="str">
        <f t="shared" si="1"/>
        <v/>
      </c>
      <c r="P102">
        <v>1</v>
      </c>
    </row>
    <row r="103" spans="1:16" x14ac:dyDescent="0.55000000000000004">
      <c r="A103" t="s">
        <v>10</v>
      </c>
      <c r="B103" t="str">
        <f>貼付!$C$2&amp;マスタ登録抽出!A103</f>
        <v>4516552522125-2</v>
      </c>
      <c r="K103" t="str">
        <f t="shared" si="1"/>
        <v/>
      </c>
      <c r="P103">
        <v>2</v>
      </c>
    </row>
    <row r="104" spans="1:16" x14ac:dyDescent="0.55000000000000004">
      <c r="A104" t="s">
        <v>11</v>
      </c>
      <c r="B104" t="str">
        <f>貼付!$C$2&amp;マスタ登録抽出!A104</f>
        <v>4516552522125-3</v>
      </c>
      <c r="K104" t="str">
        <f t="shared" si="1"/>
        <v/>
      </c>
      <c r="P104">
        <v>3</v>
      </c>
    </row>
    <row r="105" spans="1:16" x14ac:dyDescent="0.55000000000000004">
      <c r="A105" t="s">
        <v>12</v>
      </c>
      <c r="B105" t="str">
        <f>貼付!$C$2&amp;マスタ登録抽出!A105</f>
        <v>4516552522125-4</v>
      </c>
      <c r="K105" t="str">
        <f t="shared" si="1"/>
        <v/>
      </c>
      <c r="P105">
        <v>4</v>
      </c>
    </row>
    <row r="106" spans="1:16" x14ac:dyDescent="0.55000000000000004">
      <c r="A106" t="s">
        <v>13</v>
      </c>
      <c r="B106" t="str">
        <f>貼付!$C$2&amp;マスタ登録抽出!A106</f>
        <v>4516552522125-5</v>
      </c>
      <c r="K106" t="str">
        <f t="shared" si="1"/>
        <v/>
      </c>
      <c r="P106">
        <v>5</v>
      </c>
    </row>
    <row r="107" spans="1:16" x14ac:dyDescent="0.55000000000000004">
      <c r="A107" t="s">
        <v>14</v>
      </c>
      <c r="B107" t="str">
        <f>貼付!$C$2&amp;マスタ登録抽出!A107</f>
        <v>4516552522125-6</v>
      </c>
      <c r="K107" t="str">
        <f t="shared" si="1"/>
        <v/>
      </c>
      <c r="P107">
        <v>6</v>
      </c>
    </row>
    <row r="108" spans="1:16" x14ac:dyDescent="0.55000000000000004">
      <c r="A108" t="s">
        <v>15</v>
      </c>
      <c r="B108" t="str">
        <f>貼付!$C$2&amp;マスタ登録抽出!A108</f>
        <v>4516552522125-7</v>
      </c>
      <c r="K108" t="str">
        <f t="shared" si="1"/>
        <v/>
      </c>
      <c r="P108">
        <v>7</v>
      </c>
    </row>
    <row r="109" spans="1:16" x14ac:dyDescent="0.55000000000000004">
      <c r="A109" t="s">
        <v>16</v>
      </c>
      <c r="B109" t="str">
        <f>貼付!$C$2&amp;マスタ登録抽出!A109</f>
        <v>4516552522125-8</v>
      </c>
      <c r="K109" t="str">
        <f t="shared" si="1"/>
        <v/>
      </c>
      <c r="P109">
        <v>8</v>
      </c>
    </row>
    <row r="110" spans="1:16" x14ac:dyDescent="0.55000000000000004">
      <c r="A110" t="s">
        <v>17</v>
      </c>
      <c r="B110" t="str">
        <f>貼付!$C$2&amp;マスタ登録抽出!A110</f>
        <v>4516552522125-9</v>
      </c>
      <c r="K110" t="str">
        <f t="shared" si="1"/>
        <v/>
      </c>
      <c r="P110">
        <v>9</v>
      </c>
    </row>
    <row r="111" spans="1:16" x14ac:dyDescent="0.55000000000000004">
      <c r="A111" t="s">
        <v>18</v>
      </c>
      <c r="B111" t="str">
        <f>貼付!$C$2&amp;マスタ登録抽出!A111</f>
        <v>4516552522125-10</v>
      </c>
      <c r="K111" t="str">
        <f t="shared" si="1"/>
        <v/>
      </c>
      <c r="P111">
        <v>10</v>
      </c>
    </row>
    <row r="112" spans="1:16" x14ac:dyDescent="0.55000000000000004">
      <c r="A112" t="s">
        <v>9</v>
      </c>
      <c r="B112" t="str">
        <f>貼付!$C$2&amp;マスタ登録抽出!A112</f>
        <v>4516552522125-1</v>
      </c>
      <c r="P112">
        <v>1</v>
      </c>
    </row>
    <row r="113" spans="1:16" x14ac:dyDescent="0.55000000000000004">
      <c r="A113" t="s">
        <v>10</v>
      </c>
      <c r="B113" t="str">
        <f>貼付!$C$2&amp;マスタ登録抽出!A113</f>
        <v>4516552522125-2</v>
      </c>
      <c r="P113">
        <v>2</v>
      </c>
    </row>
    <row r="114" spans="1:16" x14ac:dyDescent="0.55000000000000004">
      <c r="A114" t="s">
        <v>11</v>
      </c>
      <c r="B114" t="str">
        <f>貼付!$C$2&amp;マスタ登録抽出!A114</f>
        <v>4516552522125-3</v>
      </c>
      <c r="P114">
        <v>3</v>
      </c>
    </row>
    <row r="115" spans="1:16" x14ac:dyDescent="0.55000000000000004">
      <c r="A115" t="s">
        <v>12</v>
      </c>
      <c r="B115" t="str">
        <f>貼付!$C$2&amp;マスタ登録抽出!A115</f>
        <v>4516552522125-4</v>
      </c>
      <c r="P115">
        <v>4</v>
      </c>
    </row>
    <row r="116" spans="1:16" x14ac:dyDescent="0.55000000000000004">
      <c r="A116" t="s">
        <v>13</v>
      </c>
      <c r="B116" t="str">
        <f>貼付!$C$2&amp;マスタ登録抽出!A116</f>
        <v>4516552522125-5</v>
      </c>
      <c r="P116">
        <v>5</v>
      </c>
    </row>
    <row r="117" spans="1:16" x14ac:dyDescent="0.55000000000000004">
      <c r="A117" t="s">
        <v>14</v>
      </c>
      <c r="B117" t="str">
        <f>貼付!$C$2&amp;マスタ登録抽出!A117</f>
        <v>4516552522125-6</v>
      </c>
      <c r="P117">
        <v>6</v>
      </c>
    </row>
    <row r="118" spans="1:16" x14ac:dyDescent="0.55000000000000004">
      <c r="A118" t="s">
        <v>15</v>
      </c>
      <c r="B118" t="str">
        <f>貼付!$C$2&amp;マスタ登録抽出!A118</f>
        <v>4516552522125-7</v>
      </c>
      <c r="P118">
        <v>7</v>
      </c>
    </row>
    <row r="119" spans="1:16" x14ac:dyDescent="0.55000000000000004">
      <c r="A119" t="s">
        <v>16</v>
      </c>
      <c r="B119" t="str">
        <f>貼付!$C$2&amp;マスタ登録抽出!A119</f>
        <v>4516552522125-8</v>
      </c>
      <c r="P119">
        <v>8</v>
      </c>
    </row>
    <row r="120" spans="1:16" x14ac:dyDescent="0.55000000000000004">
      <c r="A120" t="s">
        <v>17</v>
      </c>
      <c r="B120" t="str">
        <f>貼付!$C$2&amp;マスタ登録抽出!A120</f>
        <v>4516552522125-9</v>
      </c>
      <c r="P120">
        <v>9</v>
      </c>
    </row>
    <row r="121" spans="1:16" x14ac:dyDescent="0.55000000000000004">
      <c r="A121" t="s">
        <v>18</v>
      </c>
      <c r="B121" t="str">
        <f>貼付!$C$2&amp;マスタ登録抽出!A121</f>
        <v>4516552522125-10</v>
      </c>
      <c r="P121">
        <v>10</v>
      </c>
    </row>
    <row r="122" spans="1:16" x14ac:dyDescent="0.55000000000000004">
      <c r="A122" t="s">
        <v>9</v>
      </c>
      <c r="B122" t="str">
        <f>貼付!$C$2&amp;マスタ登録抽出!A122</f>
        <v>4516552522125-1</v>
      </c>
      <c r="P122">
        <v>1</v>
      </c>
    </row>
    <row r="123" spans="1:16" x14ac:dyDescent="0.55000000000000004">
      <c r="A123" t="s">
        <v>10</v>
      </c>
      <c r="B123" t="str">
        <f>貼付!$C$2&amp;マスタ登録抽出!A123</f>
        <v>4516552522125-2</v>
      </c>
      <c r="P123">
        <v>2</v>
      </c>
    </row>
    <row r="124" spans="1:16" x14ac:dyDescent="0.55000000000000004">
      <c r="A124" t="s">
        <v>11</v>
      </c>
      <c r="B124" t="str">
        <f>貼付!$C$2&amp;マスタ登録抽出!A124</f>
        <v>4516552522125-3</v>
      </c>
      <c r="P124">
        <v>3</v>
      </c>
    </row>
    <row r="125" spans="1:16" x14ac:dyDescent="0.55000000000000004">
      <c r="A125" t="s">
        <v>12</v>
      </c>
      <c r="B125" t="str">
        <f>貼付!$C$2&amp;マスタ登録抽出!A125</f>
        <v>4516552522125-4</v>
      </c>
      <c r="P125">
        <v>4</v>
      </c>
    </row>
    <row r="126" spans="1:16" x14ac:dyDescent="0.55000000000000004">
      <c r="A126" t="s">
        <v>13</v>
      </c>
      <c r="B126" t="str">
        <f>貼付!$C$2&amp;マスタ登録抽出!A126</f>
        <v>4516552522125-5</v>
      </c>
      <c r="P126">
        <v>5</v>
      </c>
    </row>
    <row r="127" spans="1:16" x14ac:dyDescent="0.55000000000000004">
      <c r="A127" t="s">
        <v>14</v>
      </c>
      <c r="B127" t="str">
        <f>貼付!$C$2&amp;マスタ登録抽出!A127</f>
        <v>4516552522125-6</v>
      </c>
      <c r="P127">
        <v>6</v>
      </c>
    </row>
    <row r="128" spans="1:16" x14ac:dyDescent="0.55000000000000004">
      <c r="A128" t="s">
        <v>15</v>
      </c>
      <c r="B128" t="str">
        <f>貼付!$C$2&amp;マスタ登録抽出!A128</f>
        <v>4516552522125-7</v>
      </c>
      <c r="P128">
        <v>7</v>
      </c>
    </row>
    <row r="129" spans="1:16" x14ac:dyDescent="0.55000000000000004">
      <c r="A129" t="s">
        <v>16</v>
      </c>
      <c r="B129" t="str">
        <f>貼付!$C$2&amp;マスタ登録抽出!A129</f>
        <v>4516552522125-8</v>
      </c>
      <c r="P129">
        <v>8</v>
      </c>
    </row>
    <row r="130" spans="1:16" x14ac:dyDescent="0.55000000000000004">
      <c r="A130" t="s">
        <v>17</v>
      </c>
      <c r="B130" t="str">
        <f>貼付!$C$2&amp;マスタ登録抽出!A130</f>
        <v>4516552522125-9</v>
      </c>
      <c r="P130">
        <v>9</v>
      </c>
    </row>
    <row r="131" spans="1:16" x14ac:dyDescent="0.55000000000000004">
      <c r="A131" t="s">
        <v>18</v>
      </c>
      <c r="B131" t="str">
        <f>貼付!$C$2&amp;マスタ登録抽出!A131</f>
        <v>4516552522125-10</v>
      </c>
      <c r="P131">
        <v>10</v>
      </c>
    </row>
    <row r="132" spans="1:16" x14ac:dyDescent="0.55000000000000004">
      <c r="A132" t="s">
        <v>9</v>
      </c>
      <c r="B132" t="str">
        <f>貼付!$C$2&amp;マスタ登録抽出!A132</f>
        <v>4516552522125-1</v>
      </c>
      <c r="P132">
        <v>1</v>
      </c>
    </row>
    <row r="133" spans="1:16" x14ac:dyDescent="0.55000000000000004">
      <c r="A133" t="s">
        <v>10</v>
      </c>
      <c r="B133" t="str">
        <f>貼付!$C$2&amp;マスタ登録抽出!A133</f>
        <v>4516552522125-2</v>
      </c>
      <c r="P133">
        <v>2</v>
      </c>
    </row>
    <row r="134" spans="1:16" x14ac:dyDescent="0.55000000000000004">
      <c r="A134" t="s">
        <v>11</v>
      </c>
      <c r="B134" t="str">
        <f>貼付!$C$2&amp;マスタ登録抽出!A134</f>
        <v>4516552522125-3</v>
      </c>
      <c r="P134">
        <v>3</v>
      </c>
    </row>
    <row r="135" spans="1:16" x14ac:dyDescent="0.55000000000000004">
      <c r="A135" t="s">
        <v>12</v>
      </c>
      <c r="B135" t="str">
        <f>貼付!$C$2&amp;マスタ登録抽出!A135</f>
        <v>4516552522125-4</v>
      </c>
      <c r="P135">
        <v>4</v>
      </c>
    </row>
    <row r="136" spans="1:16" x14ac:dyDescent="0.55000000000000004">
      <c r="A136" t="s">
        <v>13</v>
      </c>
      <c r="B136" t="str">
        <f>貼付!$C$2&amp;マスタ登録抽出!A136</f>
        <v>4516552522125-5</v>
      </c>
      <c r="P136">
        <v>5</v>
      </c>
    </row>
    <row r="137" spans="1:16" x14ac:dyDescent="0.55000000000000004">
      <c r="A137" t="s">
        <v>14</v>
      </c>
      <c r="B137" t="str">
        <f>貼付!$C$2&amp;マスタ登録抽出!A137</f>
        <v>4516552522125-6</v>
      </c>
      <c r="P137">
        <v>6</v>
      </c>
    </row>
    <row r="138" spans="1:16" x14ac:dyDescent="0.55000000000000004">
      <c r="A138" t="s">
        <v>15</v>
      </c>
      <c r="B138" t="str">
        <f>貼付!$C$2&amp;マスタ登録抽出!A138</f>
        <v>4516552522125-7</v>
      </c>
      <c r="P138">
        <v>7</v>
      </c>
    </row>
    <row r="139" spans="1:16" x14ac:dyDescent="0.55000000000000004">
      <c r="A139" t="s">
        <v>16</v>
      </c>
      <c r="B139" t="str">
        <f>貼付!$C$2&amp;マスタ登録抽出!A139</f>
        <v>4516552522125-8</v>
      </c>
      <c r="P139">
        <v>8</v>
      </c>
    </row>
    <row r="140" spans="1:16" x14ac:dyDescent="0.55000000000000004">
      <c r="A140" t="s">
        <v>17</v>
      </c>
      <c r="B140" t="str">
        <f>貼付!$C$2&amp;マスタ登録抽出!A140</f>
        <v>4516552522125-9</v>
      </c>
      <c r="P140">
        <v>9</v>
      </c>
    </row>
    <row r="141" spans="1:16" x14ac:dyDescent="0.55000000000000004">
      <c r="A141" t="s">
        <v>18</v>
      </c>
      <c r="B141" t="str">
        <f>貼付!$C$2&amp;マスタ登録抽出!A141</f>
        <v>4516552522125-10</v>
      </c>
      <c r="P141">
        <v>10</v>
      </c>
    </row>
    <row r="142" spans="1:16" x14ac:dyDescent="0.55000000000000004">
      <c r="A142" t="s">
        <v>9</v>
      </c>
      <c r="B142" t="str">
        <f>貼付!$C$2&amp;マスタ登録抽出!A142</f>
        <v>4516552522125-1</v>
      </c>
      <c r="P142">
        <v>1</v>
      </c>
    </row>
    <row r="143" spans="1:16" x14ac:dyDescent="0.55000000000000004">
      <c r="A143" t="s">
        <v>10</v>
      </c>
      <c r="B143" t="str">
        <f>貼付!$C$2&amp;マスタ登録抽出!A143</f>
        <v>4516552522125-2</v>
      </c>
      <c r="P143">
        <v>2</v>
      </c>
    </row>
    <row r="144" spans="1:16" x14ac:dyDescent="0.55000000000000004">
      <c r="A144" t="s">
        <v>11</v>
      </c>
      <c r="B144" t="str">
        <f>貼付!$C$2&amp;マスタ登録抽出!A144</f>
        <v>4516552522125-3</v>
      </c>
      <c r="P144">
        <v>3</v>
      </c>
    </row>
    <row r="145" spans="1:16" x14ac:dyDescent="0.55000000000000004">
      <c r="A145" t="s">
        <v>12</v>
      </c>
      <c r="B145" t="str">
        <f>貼付!$C$2&amp;マスタ登録抽出!A145</f>
        <v>4516552522125-4</v>
      </c>
      <c r="P145">
        <v>4</v>
      </c>
    </row>
    <row r="146" spans="1:16" x14ac:dyDescent="0.55000000000000004">
      <c r="A146" t="s">
        <v>13</v>
      </c>
      <c r="B146" t="str">
        <f>貼付!$C$2&amp;マスタ登録抽出!A146</f>
        <v>4516552522125-5</v>
      </c>
      <c r="P146">
        <v>5</v>
      </c>
    </row>
    <row r="147" spans="1:16" x14ac:dyDescent="0.55000000000000004">
      <c r="A147" t="s">
        <v>14</v>
      </c>
      <c r="B147" t="str">
        <f>貼付!$C$2&amp;マスタ登録抽出!A147</f>
        <v>4516552522125-6</v>
      </c>
      <c r="P147">
        <v>6</v>
      </c>
    </row>
    <row r="148" spans="1:16" x14ac:dyDescent="0.55000000000000004">
      <c r="A148" t="s">
        <v>15</v>
      </c>
      <c r="B148" t="str">
        <f>貼付!$C$2&amp;マスタ登録抽出!A148</f>
        <v>4516552522125-7</v>
      </c>
      <c r="P148">
        <v>7</v>
      </c>
    </row>
    <row r="149" spans="1:16" x14ac:dyDescent="0.55000000000000004">
      <c r="A149" t="s">
        <v>16</v>
      </c>
      <c r="B149" t="str">
        <f>貼付!$C$2&amp;マスタ登録抽出!A149</f>
        <v>4516552522125-8</v>
      </c>
      <c r="P149">
        <v>8</v>
      </c>
    </row>
    <row r="150" spans="1:16" x14ac:dyDescent="0.55000000000000004">
      <c r="A150" t="s">
        <v>17</v>
      </c>
      <c r="B150" t="str">
        <f>貼付!$C$2&amp;マスタ登録抽出!A150</f>
        <v>4516552522125-9</v>
      </c>
      <c r="P150">
        <v>9</v>
      </c>
    </row>
    <row r="151" spans="1:16" x14ac:dyDescent="0.55000000000000004">
      <c r="A151" t="s">
        <v>18</v>
      </c>
      <c r="B151" t="str">
        <f>貼付!$C$2&amp;マスタ登録抽出!A151</f>
        <v>4516552522125-10</v>
      </c>
      <c r="P151">
        <v>10</v>
      </c>
    </row>
    <row r="152" spans="1:16" x14ac:dyDescent="0.55000000000000004">
      <c r="A152" t="s">
        <v>9</v>
      </c>
      <c r="B152" t="str">
        <f>貼付!$C$2&amp;マスタ登録抽出!A152</f>
        <v>4516552522125-1</v>
      </c>
      <c r="P152">
        <v>1</v>
      </c>
    </row>
    <row r="153" spans="1:16" x14ac:dyDescent="0.55000000000000004">
      <c r="A153" t="s">
        <v>10</v>
      </c>
      <c r="B153" t="str">
        <f>貼付!$C$2&amp;マスタ登録抽出!A153</f>
        <v>4516552522125-2</v>
      </c>
      <c r="P153">
        <v>2</v>
      </c>
    </row>
    <row r="154" spans="1:16" x14ac:dyDescent="0.55000000000000004">
      <c r="A154" t="s">
        <v>11</v>
      </c>
      <c r="B154" t="str">
        <f>貼付!$C$2&amp;マスタ登録抽出!A154</f>
        <v>4516552522125-3</v>
      </c>
      <c r="P154">
        <v>3</v>
      </c>
    </row>
    <row r="155" spans="1:16" x14ac:dyDescent="0.55000000000000004">
      <c r="A155" t="s">
        <v>12</v>
      </c>
      <c r="B155" t="str">
        <f>貼付!$C$2&amp;マスタ登録抽出!A155</f>
        <v>4516552522125-4</v>
      </c>
      <c r="P155">
        <v>4</v>
      </c>
    </row>
    <row r="156" spans="1:16" x14ac:dyDescent="0.55000000000000004">
      <c r="A156" t="s">
        <v>13</v>
      </c>
      <c r="B156" t="str">
        <f>貼付!$C$2&amp;マスタ登録抽出!A156</f>
        <v>4516552522125-5</v>
      </c>
      <c r="P156">
        <v>5</v>
      </c>
    </row>
    <row r="157" spans="1:16" x14ac:dyDescent="0.55000000000000004">
      <c r="A157" t="s">
        <v>14</v>
      </c>
      <c r="B157" t="str">
        <f>貼付!$C$2&amp;マスタ登録抽出!A157</f>
        <v>4516552522125-6</v>
      </c>
      <c r="P157">
        <v>6</v>
      </c>
    </row>
    <row r="158" spans="1:16" x14ac:dyDescent="0.55000000000000004">
      <c r="A158" t="s">
        <v>15</v>
      </c>
      <c r="B158" t="str">
        <f>貼付!$C$2&amp;マスタ登録抽出!A158</f>
        <v>4516552522125-7</v>
      </c>
      <c r="P158">
        <v>7</v>
      </c>
    </row>
    <row r="159" spans="1:16" x14ac:dyDescent="0.55000000000000004">
      <c r="A159" t="s">
        <v>16</v>
      </c>
      <c r="B159" t="str">
        <f>貼付!$C$2&amp;マスタ登録抽出!A159</f>
        <v>4516552522125-8</v>
      </c>
      <c r="P159">
        <v>8</v>
      </c>
    </row>
    <row r="160" spans="1:16" x14ac:dyDescent="0.55000000000000004">
      <c r="A160" t="s">
        <v>17</v>
      </c>
      <c r="B160" t="str">
        <f>貼付!$C$2&amp;マスタ登録抽出!A160</f>
        <v>4516552522125-9</v>
      </c>
      <c r="P160">
        <v>9</v>
      </c>
    </row>
    <row r="161" spans="1:16" x14ac:dyDescent="0.55000000000000004">
      <c r="A161" t="s">
        <v>18</v>
      </c>
      <c r="B161" t="str">
        <f>貼付!$C$2&amp;マスタ登録抽出!A161</f>
        <v>4516552522125-10</v>
      </c>
      <c r="P161">
        <v>10</v>
      </c>
    </row>
    <row r="162" spans="1:16" x14ac:dyDescent="0.55000000000000004">
      <c r="A162" t="s">
        <v>9</v>
      </c>
      <c r="B162" t="str">
        <f>貼付!$C$2&amp;マスタ登録抽出!A162</f>
        <v>4516552522125-1</v>
      </c>
      <c r="P162">
        <v>1</v>
      </c>
    </row>
    <row r="163" spans="1:16" x14ac:dyDescent="0.55000000000000004">
      <c r="A163" t="s">
        <v>10</v>
      </c>
      <c r="B163" t="str">
        <f>貼付!$C$2&amp;マスタ登録抽出!A163</f>
        <v>4516552522125-2</v>
      </c>
      <c r="P163">
        <v>2</v>
      </c>
    </row>
    <row r="164" spans="1:16" x14ac:dyDescent="0.55000000000000004">
      <c r="A164" t="s">
        <v>11</v>
      </c>
      <c r="B164" t="str">
        <f>貼付!$C$2&amp;マスタ登録抽出!A164</f>
        <v>4516552522125-3</v>
      </c>
      <c r="P164">
        <v>3</v>
      </c>
    </row>
    <row r="165" spans="1:16" x14ac:dyDescent="0.55000000000000004">
      <c r="A165" t="s">
        <v>12</v>
      </c>
      <c r="B165" t="str">
        <f>貼付!$C$2&amp;マスタ登録抽出!A165</f>
        <v>4516552522125-4</v>
      </c>
      <c r="P165">
        <v>4</v>
      </c>
    </row>
    <row r="166" spans="1:16" x14ac:dyDescent="0.55000000000000004">
      <c r="A166" t="s">
        <v>13</v>
      </c>
      <c r="B166" t="str">
        <f>貼付!$C$2&amp;マスタ登録抽出!A166</f>
        <v>4516552522125-5</v>
      </c>
      <c r="P166">
        <v>5</v>
      </c>
    </row>
    <row r="167" spans="1:16" x14ac:dyDescent="0.55000000000000004">
      <c r="A167" t="s">
        <v>14</v>
      </c>
      <c r="B167" t="str">
        <f>貼付!$C$2&amp;マスタ登録抽出!A167</f>
        <v>4516552522125-6</v>
      </c>
      <c r="P167">
        <v>6</v>
      </c>
    </row>
    <row r="168" spans="1:16" x14ac:dyDescent="0.55000000000000004">
      <c r="A168" t="s">
        <v>15</v>
      </c>
      <c r="B168" t="str">
        <f>貼付!$C$2&amp;マスタ登録抽出!A168</f>
        <v>4516552522125-7</v>
      </c>
      <c r="P168">
        <v>7</v>
      </c>
    </row>
    <row r="169" spans="1:16" x14ac:dyDescent="0.55000000000000004">
      <c r="A169" t="s">
        <v>16</v>
      </c>
      <c r="B169" t="str">
        <f>貼付!$C$2&amp;マスタ登録抽出!A169</f>
        <v>4516552522125-8</v>
      </c>
      <c r="P169">
        <v>8</v>
      </c>
    </row>
    <row r="170" spans="1:16" x14ac:dyDescent="0.55000000000000004">
      <c r="A170" t="s">
        <v>17</v>
      </c>
      <c r="B170" t="str">
        <f>貼付!$C$2&amp;マスタ登録抽出!A170</f>
        <v>4516552522125-9</v>
      </c>
      <c r="P170">
        <v>9</v>
      </c>
    </row>
    <row r="171" spans="1:16" x14ac:dyDescent="0.55000000000000004">
      <c r="A171" t="s">
        <v>18</v>
      </c>
      <c r="B171" t="str">
        <f>貼付!$C$2&amp;マスタ登録抽出!A171</f>
        <v>4516552522125-10</v>
      </c>
      <c r="P171">
        <v>10</v>
      </c>
    </row>
    <row r="172" spans="1:16" x14ac:dyDescent="0.55000000000000004">
      <c r="A172" t="s">
        <v>9</v>
      </c>
      <c r="B172" t="str">
        <f>貼付!$C$2&amp;マスタ登録抽出!A172</f>
        <v>4516552522125-1</v>
      </c>
      <c r="P172">
        <v>1</v>
      </c>
    </row>
    <row r="173" spans="1:16" x14ac:dyDescent="0.55000000000000004">
      <c r="A173" t="s">
        <v>10</v>
      </c>
      <c r="B173" t="str">
        <f>貼付!$C$2&amp;マスタ登録抽出!A173</f>
        <v>4516552522125-2</v>
      </c>
      <c r="P173">
        <v>2</v>
      </c>
    </row>
    <row r="174" spans="1:16" x14ac:dyDescent="0.55000000000000004">
      <c r="A174" t="s">
        <v>11</v>
      </c>
      <c r="B174" t="str">
        <f>貼付!$C$2&amp;マスタ登録抽出!A174</f>
        <v>4516552522125-3</v>
      </c>
      <c r="P174">
        <v>3</v>
      </c>
    </row>
    <row r="175" spans="1:16" x14ac:dyDescent="0.55000000000000004">
      <c r="A175" t="s">
        <v>12</v>
      </c>
      <c r="B175" t="str">
        <f>貼付!$C$2&amp;マスタ登録抽出!A175</f>
        <v>4516552522125-4</v>
      </c>
      <c r="P175">
        <v>4</v>
      </c>
    </row>
    <row r="176" spans="1:16" x14ac:dyDescent="0.55000000000000004">
      <c r="A176" t="s">
        <v>13</v>
      </c>
      <c r="B176" t="str">
        <f>貼付!$C$2&amp;マスタ登録抽出!A176</f>
        <v>4516552522125-5</v>
      </c>
      <c r="P176">
        <v>5</v>
      </c>
    </row>
    <row r="177" spans="1:16" x14ac:dyDescent="0.55000000000000004">
      <c r="A177" t="s">
        <v>14</v>
      </c>
      <c r="B177" t="str">
        <f>貼付!$C$2&amp;マスタ登録抽出!A177</f>
        <v>4516552522125-6</v>
      </c>
      <c r="P177">
        <v>6</v>
      </c>
    </row>
    <row r="178" spans="1:16" x14ac:dyDescent="0.55000000000000004">
      <c r="A178" t="s">
        <v>15</v>
      </c>
      <c r="B178" t="str">
        <f>貼付!$C$2&amp;マスタ登録抽出!A178</f>
        <v>4516552522125-7</v>
      </c>
      <c r="P178">
        <v>7</v>
      </c>
    </row>
    <row r="179" spans="1:16" x14ac:dyDescent="0.55000000000000004">
      <c r="A179" t="s">
        <v>16</v>
      </c>
      <c r="B179" t="str">
        <f>貼付!$C$2&amp;マスタ登録抽出!A179</f>
        <v>4516552522125-8</v>
      </c>
      <c r="P179">
        <v>8</v>
      </c>
    </row>
    <row r="180" spans="1:16" x14ac:dyDescent="0.55000000000000004">
      <c r="A180" t="s">
        <v>17</v>
      </c>
      <c r="B180" t="str">
        <f>貼付!$C$2&amp;マスタ登録抽出!A180</f>
        <v>4516552522125-9</v>
      </c>
      <c r="P180">
        <v>9</v>
      </c>
    </row>
    <row r="181" spans="1:16" x14ac:dyDescent="0.55000000000000004">
      <c r="A181" t="s">
        <v>18</v>
      </c>
      <c r="B181" t="str">
        <f>貼付!$C$2&amp;マスタ登録抽出!A181</f>
        <v>4516552522125-10</v>
      </c>
      <c r="P181">
        <v>10</v>
      </c>
    </row>
    <row r="182" spans="1:16" x14ac:dyDescent="0.55000000000000004">
      <c r="A182" t="s">
        <v>9</v>
      </c>
      <c r="B182" t="str">
        <f>貼付!$C$2&amp;マスタ登録抽出!A182</f>
        <v>4516552522125-1</v>
      </c>
      <c r="P182">
        <v>1</v>
      </c>
    </row>
    <row r="183" spans="1:16" x14ac:dyDescent="0.55000000000000004">
      <c r="A183" t="s">
        <v>10</v>
      </c>
      <c r="B183" t="str">
        <f>貼付!$C$2&amp;マスタ登録抽出!A183</f>
        <v>4516552522125-2</v>
      </c>
      <c r="P183">
        <v>2</v>
      </c>
    </row>
    <row r="184" spans="1:16" x14ac:dyDescent="0.55000000000000004">
      <c r="A184" t="s">
        <v>11</v>
      </c>
      <c r="B184" t="str">
        <f>貼付!$C$2&amp;マスタ登録抽出!A184</f>
        <v>4516552522125-3</v>
      </c>
      <c r="P184">
        <v>3</v>
      </c>
    </row>
    <row r="185" spans="1:16" x14ac:dyDescent="0.55000000000000004">
      <c r="A185" t="s">
        <v>12</v>
      </c>
      <c r="B185" t="str">
        <f>貼付!$C$2&amp;マスタ登録抽出!A185</f>
        <v>4516552522125-4</v>
      </c>
      <c r="P185">
        <v>4</v>
      </c>
    </row>
    <row r="186" spans="1:16" x14ac:dyDescent="0.55000000000000004">
      <c r="A186" t="s">
        <v>13</v>
      </c>
      <c r="B186" t="str">
        <f>貼付!$C$2&amp;マスタ登録抽出!A186</f>
        <v>4516552522125-5</v>
      </c>
      <c r="P186">
        <v>5</v>
      </c>
    </row>
    <row r="187" spans="1:16" x14ac:dyDescent="0.55000000000000004">
      <c r="A187" t="s">
        <v>14</v>
      </c>
      <c r="B187" t="str">
        <f>貼付!$C$2&amp;マスタ登録抽出!A187</f>
        <v>4516552522125-6</v>
      </c>
      <c r="P187">
        <v>6</v>
      </c>
    </row>
    <row r="188" spans="1:16" x14ac:dyDescent="0.55000000000000004">
      <c r="A188" t="s">
        <v>15</v>
      </c>
      <c r="B188" t="str">
        <f>貼付!$C$2&amp;マスタ登録抽出!A188</f>
        <v>4516552522125-7</v>
      </c>
      <c r="P188">
        <v>7</v>
      </c>
    </row>
    <row r="189" spans="1:16" x14ac:dyDescent="0.55000000000000004">
      <c r="A189" t="s">
        <v>16</v>
      </c>
      <c r="B189" t="str">
        <f>貼付!$C$2&amp;マスタ登録抽出!A189</f>
        <v>4516552522125-8</v>
      </c>
      <c r="P189">
        <v>8</v>
      </c>
    </row>
    <row r="190" spans="1:16" x14ac:dyDescent="0.55000000000000004">
      <c r="A190" t="s">
        <v>17</v>
      </c>
      <c r="B190" t="str">
        <f>貼付!$C$2&amp;マスタ登録抽出!A190</f>
        <v>4516552522125-9</v>
      </c>
      <c r="P190">
        <v>9</v>
      </c>
    </row>
    <row r="191" spans="1:16" x14ac:dyDescent="0.55000000000000004">
      <c r="A191" t="s">
        <v>18</v>
      </c>
      <c r="B191" t="str">
        <f>貼付!$C$2&amp;マスタ登録抽出!A191</f>
        <v>4516552522125-10</v>
      </c>
      <c r="P191">
        <v>10</v>
      </c>
    </row>
    <row r="192" spans="1:16" x14ac:dyDescent="0.55000000000000004">
      <c r="A192" t="s">
        <v>9</v>
      </c>
      <c r="B192" t="str">
        <f>貼付!$C$2&amp;マスタ登録抽出!A192</f>
        <v>4516552522125-1</v>
      </c>
      <c r="P192">
        <v>1</v>
      </c>
    </row>
    <row r="193" spans="1:16" x14ac:dyDescent="0.55000000000000004">
      <c r="A193" t="s">
        <v>10</v>
      </c>
      <c r="B193" t="str">
        <f>貼付!$C$2&amp;マスタ登録抽出!A193</f>
        <v>4516552522125-2</v>
      </c>
      <c r="P193">
        <v>2</v>
      </c>
    </row>
    <row r="194" spans="1:16" x14ac:dyDescent="0.55000000000000004">
      <c r="A194" t="s">
        <v>11</v>
      </c>
      <c r="B194" t="str">
        <f>貼付!$C$2&amp;マスタ登録抽出!A194</f>
        <v>4516552522125-3</v>
      </c>
      <c r="P194">
        <v>3</v>
      </c>
    </row>
    <row r="195" spans="1:16" x14ac:dyDescent="0.55000000000000004">
      <c r="A195" t="s">
        <v>12</v>
      </c>
      <c r="B195" t="str">
        <f>貼付!$C$2&amp;マスタ登録抽出!A195</f>
        <v>4516552522125-4</v>
      </c>
      <c r="P195">
        <v>4</v>
      </c>
    </row>
    <row r="196" spans="1:16" x14ac:dyDescent="0.55000000000000004">
      <c r="A196" t="s">
        <v>13</v>
      </c>
      <c r="B196" t="str">
        <f>貼付!$C$2&amp;マスタ登録抽出!A196</f>
        <v>4516552522125-5</v>
      </c>
      <c r="P196">
        <v>5</v>
      </c>
    </row>
    <row r="197" spans="1:16" x14ac:dyDescent="0.55000000000000004">
      <c r="A197" t="s">
        <v>14</v>
      </c>
      <c r="B197" t="str">
        <f>貼付!$C$2&amp;マスタ登録抽出!A197</f>
        <v>4516552522125-6</v>
      </c>
      <c r="P197">
        <v>6</v>
      </c>
    </row>
    <row r="198" spans="1:16" x14ac:dyDescent="0.55000000000000004">
      <c r="A198" t="s">
        <v>15</v>
      </c>
      <c r="B198" t="str">
        <f>貼付!$C$2&amp;マスタ登録抽出!A198</f>
        <v>4516552522125-7</v>
      </c>
      <c r="P198">
        <v>7</v>
      </c>
    </row>
    <row r="199" spans="1:16" x14ac:dyDescent="0.55000000000000004">
      <c r="A199" t="s">
        <v>16</v>
      </c>
      <c r="B199" t="str">
        <f>貼付!$C$2&amp;マスタ登録抽出!A199</f>
        <v>4516552522125-8</v>
      </c>
      <c r="P199">
        <v>8</v>
      </c>
    </row>
    <row r="200" spans="1:16" x14ac:dyDescent="0.55000000000000004">
      <c r="A200" t="s">
        <v>17</v>
      </c>
      <c r="B200" t="str">
        <f>貼付!$C$2&amp;マスタ登録抽出!A200</f>
        <v>4516552522125-9</v>
      </c>
      <c r="P200">
        <v>9</v>
      </c>
    </row>
    <row r="201" spans="1:16" x14ac:dyDescent="0.55000000000000004">
      <c r="A201" t="s">
        <v>18</v>
      </c>
      <c r="B201" t="str">
        <f>貼付!$C$2&amp;マスタ登録抽出!A201</f>
        <v>4516552522125-10</v>
      </c>
      <c r="P201">
        <v>10</v>
      </c>
    </row>
    <row r="202" spans="1:16" x14ac:dyDescent="0.55000000000000004">
      <c r="A202" t="s">
        <v>9</v>
      </c>
      <c r="B202" t="str">
        <f>貼付!$C$2&amp;マスタ登録抽出!A202</f>
        <v>4516552522125-1</v>
      </c>
      <c r="P202">
        <v>1</v>
      </c>
    </row>
    <row r="203" spans="1:16" x14ac:dyDescent="0.55000000000000004">
      <c r="A203" t="s">
        <v>10</v>
      </c>
      <c r="B203" t="str">
        <f>貼付!$C$2&amp;マスタ登録抽出!A203</f>
        <v>4516552522125-2</v>
      </c>
      <c r="P203">
        <v>2</v>
      </c>
    </row>
    <row r="204" spans="1:16" x14ac:dyDescent="0.55000000000000004">
      <c r="A204" t="s">
        <v>11</v>
      </c>
      <c r="B204" t="str">
        <f>貼付!$C$2&amp;マスタ登録抽出!A204</f>
        <v>4516552522125-3</v>
      </c>
      <c r="P204">
        <v>3</v>
      </c>
    </row>
    <row r="205" spans="1:16" x14ac:dyDescent="0.55000000000000004">
      <c r="A205" t="s">
        <v>12</v>
      </c>
      <c r="B205" t="str">
        <f>貼付!$C$2&amp;マスタ登録抽出!A205</f>
        <v>4516552522125-4</v>
      </c>
      <c r="P205">
        <v>4</v>
      </c>
    </row>
    <row r="206" spans="1:16" x14ac:dyDescent="0.55000000000000004">
      <c r="A206" t="s">
        <v>13</v>
      </c>
      <c r="B206" t="str">
        <f>貼付!$C$2&amp;マスタ登録抽出!A206</f>
        <v>4516552522125-5</v>
      </c>
      <c r="P206">
        <v>5</v>
      </c>
    </row>
    <row r="207" spans="1:16" x14ac:dyDescent="0.55000000000000004">
      <c r="A207" t="s">
        <v>14</v>
      </c>
      <c r="B207" t="str">
        <f>貼付!$C$2&amp;マスタ登録抽出!A207</f>
        <v>4516552522125-6</v>
      </c>
      <c r="P207">
        <v>6</v>
      </c>
    </row>
    <row r="208" spans="1:16" x14ac:dyDescent="0.55000000000000004">
      <c r="A208" t="s">
        <v>15</v>
      </c>
      <c r="B208" t="str">
        <f>貼付!$C$2&amp;マスタ登録抽出!A208</f>
        <v>4516552522125-7</v>
      </c>
      <c r="P208">
        <v>7</v>
      </c>
    </row>
    <row r="209" spans="1:16" x14ac:dyDescent="0.55000000000000004">
      <c r="A209" t="s">
        <v>16</v>
      </c>
      <c r="B209" t="str">
        <f>貼付!$C$2&amp;マスタ登録抽出!A209</f>
        <v>4516552522125-8</v>
      </c>
      <c r="P209">
        <v>8</v>
      </c>
    </row>
    <row r="210" spans="1:16" x14ac:dyDescent="0.55000000000000004">
      <c r="A210" t="s">
        <v>17</v>
      </c>
      <c r="B210" t="str">
        <f>貼付!$C$2&amp;マスタ登録抽出!A210</f>
        <v>4516552522125-9</v>
      </c>
      <c r="P210">
        <v>9</v>
      </c>
    </row>
    <row r="211" spans="1:16" x14ac:dyDescent="0.55000000000000004">
      <c r="A211" t="s">
        <v>18</v>
      </c>
      <c r="B211" t="str">
        <f>貼付!$C$2&amp;マスタ登録抽出!A211</f>
        <v>4516552522125-10</v>
      </c>
      <c r="P211">
        <v>10</v>
      </c>
    </row>
    <row r="212" spans="1:16" x14ac:dyDescent="0.55000000000000004">
      <c r="A212" t="s">
        <v>9</v>
      </c>
      <c r="B212" t="str">
        <f>貼付!$C$2&amp;マスタ登録抽出!A212</f>
        <v>4516552522125-1</v>
      </c>
      <c r="P212">
        <v>1</v>
      </c>
    </row>
    <row r="213" spans="1:16" x14ac:dyDescent="0.55000000000000004">
      <c r="A213" t="s">
        <v>10</v>
      </c>
      <c r="B213" t="str">
        <f>貼付!$C$2&amp;マスタ登録抽出!A213</f>
        <v>4516552522125-2</v>
      </c>
      <c r="P213">
        <v>2</v>
      </c>
    </row>
    <row r="214" spans="1:16" x14ac:dyDescent="0.55000000000000004">
      <c r="A214" t="s">
        <v>11</v>
      </c>
      <c r="B214" t="str">
        <f>貼付!$C$2&amp;マスタ登録抽出!A214</f>
        <v>4516552522125-3</v>
      </c>
      <c r="P214">
        <v>3</v>
      </c>
    </row>
    <row r="215" spans="1:16" x14ac:dyDescent="0.55000000000000004">
      <c r="A215" t="s">
        <v>12</v>
      </c>
      <c r="B215" t="str">
        <f>貼付!$C$2&amp;マスタ登録抽出!A215</f>
        <v>4516552522125-4</v>
      </c>
      <c r="P215">
        <v>4</v>
      </c>
    </row>
    <row r="216" spans="1:16" x14ac:dyDescent="0.55000000000000004">
      <c r="A216" t="s">
        <v>13</v>
      </c>
      <c r="B216" t="str">
        <f>貼付!$C$2&amp;マスタ登録抽出!A216</f>
        <v>4516552522125-5</v>
      </c>
      <c r="P216">
        <v>5</v>
      </c>
    </row>
    <row r="217" spans="1:16" x14ac:dyDescent="0.55000000000000004">
      <c r="A217" t="s">
        <v>14</v>
      </c>
      <c r="B217" t="str">
        <f>貼付!$C$2&amp;マスタ登録抽出!A217</f>
        <v>4516552522125-6</v>
      </c>
      <c r="P217">
        <v>6</v>
      </c>
    </row>
    <row r="218" spans="1:16" x14ac:dyDescent="0.55000000000000004">
      <c r="A218" t="s">
        <v>15</v>
      </c>
      <c r="B218" t="str">
        <f>貼付!$C$2&amp;マスタ登録抽出!A218</f>
        <v>4516552522125-7</v>
      </c>
      <c r="P218">
        <v>7</v>
      </c>
    </row>
    <row r="219" spans="1:16" x14ac:dyDescent="0.55000000000000004">
      <c r="A219" t="s">
        <v>16</v>
      </c>
      <c r="B219" t="str">
        <f>貼付!$C$2&amp;マスタ登録抽出!A219</f>
        <v>4516552522125-8</v>
      </c>
      <c r="P219">
        <v>8</v>
      </c>
    </row>
    <row r="220" spans="1:16" x14ac:dyDescent="0.55000000000000004">
      <c r="A220" t="s">
        <v>17</v>
      </c>
      <c r="B220" t="str">
        <f>貼付!$C$2&amp;マスタ登録抽出!A220</f>
        <v>4516552522125-9</v>
      </c>
      <c r="P220">
        <v>9</v>
      </c>
    </row>
    <row r="221" spans="1:16" x14ac:dyDescent="0.55000000000000004">
      <c r="A221" t="s">
        <v>18</v>
      </c>
      <c r="B221" t="str">
        <f>貼付!$C$2&amp;マスタ登録抽出!A221</f>
        <v>4516552522125-10</v>
      </c>
      <c r="P221">
        <v>10</v>
      </c>
    </row>
    <row r="222" spans="1:16" x14ac:dyDescent="0.55000000000000004">
      <c r="A222" t="s">
        <v>9</v>
      </c>
      <c r="B222" t="str">
        <f>貼付!$C$2&amp;マスタ登録抽出!A222</f>
        <v>4516552522125-1</v>
      </c>
      <c r="P222">
        <v>1</v>
      </c>
    </row>
    <row r="223" spans="1:16" x14ac:dyDescent="0.55000000000000004">
      <c r="A223" t="s">
        <v>10</v>
      </c>
      <c r="B223" t="str">
        <f>貼付!$C$2&amp;マスタ登録抽出!A223</f>
        <v>4516552522125-2</v>
      </c>
      <c r="P223">
        <v>2</v>
      </c>
    </row>
    <row r="224" spans="1:16" x14ac:dyDescent="0.55000000000000004">
      <c r="A224" t="s">
        <v>11</v>
      </c>
      <c r="B224" t="str">
        <f>貼付!$C$2&amp;マスタ登録抽出!A224</f>
        <v>4516552522125-3</v>
      </c>
      <c r="P224">
        <v>3</v>
      </c>
    </row>
    <row r="225" spans="1:16" x14ac:dyDescent="0.55000000000000004">
      <c r="A225" t="s">
        <v>12</v>
      </c>
      <c r="B225" t="str">
        <f>貼付!$C$2&amp;マスタ登録抽出!A225</f>
        <v>4516552522125-4</v>
      </c>
      <c r="P225">
        <v>4</v>
      </c>
    </row>
    <row r="226" spans="1:16" x14ac:dyDescent="0.55000000000000004">
      <c r="A226" t="s">
        <v>13</v>
      </c>
      <c r="B226" t="str">
        <f>貼付!$C$2&amp;マスタ登録抽出!A226</f>
        <v>4516552522125-5</v>
      </c>
      <c r="P226">
        <v>5</v>
      </c>
    </row>
    <row r="227" spans="1:16" x14ac:dyDescent="0.55000000000000004">
      <c r="A227" t="s">
        <v>14</v>
      </c>
      <c r="B227" t="str">
        <f>貼付!$C$2&amp;マスタ登録抽出!A227</f>
        <v>4516552522125-6</v>
      </c>
      <c r="P227">
        <v>6</v>
      </c>
    </row>
    <row r="228" spans="1:16" x14ac:dyDescent="0.55000000000000004">
      <c r="A228" t="s">
        <v>15</v>
      </c>
      <c r="B228" t="str">
        <f>貼付!$C$2&amp;マスタ登録抽出!A228</f>
        <v>4516552522125-7</v>
      </c>
      <c r="P228">
        <v>7</v>
      </c>
    </row>
    <row r="229" spans="1:16" x14ac:dyDescent="0.55000000000000004">
      <c r="A229" t="s">
        <v>16</v>
      </c>
      <c r="B229" t="str">
        <f>貼付!$C$2&amp;マスタ登録抽出!A229</f>
        <v>4516552522125-8</v>
      </c>
      <c r="P229">
        <v>8</v>
      </c>
    </row>
    <row r="230" spans="1:16" x14ac:dyDescent="0.55000000000000004">
      <c r="A230" t="s">
        <v>17</v>
      </c>
      <c r="B230" t="str">
        <f>貼付!$C$2&amp;マスタ登録抽出!A230</f>
        <v>4516552522125-9</v>
      </c>
      <c r="P230">
        <v>9</v>
      </c>
    </row>
    <row r="231" spans="1:16" x14ac:dyDescent="0.55000000000000004">
      <c r="A231" t="s">
        <v>18</v>
      </c>
      <c r="B231" t="str">
        <f>貼付!$C$2&amp;マスタ登録抽出!A231</f>
        <v>4516552522125-10</v>
      </c>
      <c r="P231">
        <v>10</v>
      </c>
    </row>
    <row r="232" spans="1:16" x14ac:dyDescent="0.55000000000000004">
      <c r="A232" t="s">
        <v>9</v>
      </c>
      <c r="B232" t="str">
        <f>貼付!$C$2&amp;マスタ登録抽出!A232</f>
        <v>4516552522125-1</v>
      </c>
      <c r="P232">
        <v>1</v>
      </c>
    </row>
    <row r="233" spans="1:16" x14ac:dyDescent="0.55000000000000004">
      <c r="A233" t="s">
        <v>10</v>
      </c>
      <c r="B233" t="str">
        <f>貼付!$C$2&amp;マスタ登録抽出!A233</f>
        <v>4516552522125-2</v>
      </c>
      <c r="P233">
        <v>2</v>
      </c>
    </row>
    <row r="234" spans="1:16" x14ac:dyDescent="0.55000000000000004">
      <c r="A234" t="s">
        <v>11</v>
      </c>
      <c r="B234" t="str">
        <f>貼付!$C$2&amp;マスタ登録抽出!A234</f>
        <v>4516552522125-3</v>
      </c>
      <c r="P234">
        <v>3</v>
      </c>
    </row>
    <row r="235" spans="1:16" x14ac:dyDescent="0.55000000000000004">
      <c r="A235" t="s">
        <v>12</v>
      </c>
      <c r="B235" t="str">
        <f>貼付!$C$2&amp;マスタ登録抽出!A235</f>
        <v>4516552522125-4</v>
      </c>
      <c r="P235">
        <v>4</v>
      </c>
    </row>
    <row r="236" spans="1:16" x14ac:dyDescent="0.55000000000000004">
      <c r="A236" t="s">
        <v>13</v>
      </c>
      <c r="B236" t="str">
        <f>貼付!$C$2&amp;マスタ登録抽出!A236</f>
        <v>4516552522125-5</v>
      </c>
      <c r="P236">
        <v>5</v>
      </c>
    </row>
    <row r="237" spans="1:16" x14ac:dyDescent="0.55000000000000004">
      <c r="A237" t="s">
        <v>14</v>
      </c>
      <c r="B237" t="str">
        <f>貼付!$C$2&amp;マスタ登録抽出!A237</f>
        <v>4516552522125-6</v>
      </c>
      <c r="P237">
        <v>6</v>
      </c>
    </row>
    <row r="238" spans="1:16" x14ac:dyDescent="0.55000000000000004">
      <c r="A238" t="s">
        <v>15</v>
      </c>
      <c r="B238" t="str">
        <f>貼付!$C$2&amp;マスタ登録抽出!A238</f>
        <v>4516552522125-7</v>
      </c>
      <c r="P238">
        <v>7</v>
      </c>
    </row>
    <row r="239" spans="1:16" x14ac:dyDescent="0.55000000000000004">
      <c r="A239" t="s">
        <v>16</v>
      </c>
      <c r="B239" t="str">
        <f>貼付!$C$2&amp;マスタ登録抽出!A239</f>
        <v>4516552522125-8</v>
      </c>
      <c r="P239">
        <v>8</v>
      </c>
    </row>
    <row r="240" spans="1:16" x14ac:dyDescent="0.55000000000000004">
      <c r="A240" t="s">
        <v>17</v>
      </c>
      <c r="B240" t="str">
        <f>貼付!$C$2&amp;マスタ登録抽出!A240</f>
        <v>4516552522125-9</v>
      </c>
      <c r="P240">
        <v>9</v>
      </c>
    </row>
    <row r="241" spans="1:16" x14ac:dyDescent="0.55000000000000004">
      <c r="A241" t="s">
        <v>18</v>
      </c>
      <c r="B241" t="str">
        <f>貼付!$C$2&amp;マスタ登録抽出!A241</f>
        <v>4516552522125-10</v>
      </c>
      <c r="P241">
        <v>10</v>
      </c>
    </row>
    <row r="242" spans="1:16" x14ac:dyDescent="0.55000000000000004">
      <c r="A242" t="s">
        <v>9</v>
      </c>
      <c r="B242" t="str">
        <f>貼付!$C$2&amp;マスタ登録抽出!A242</f>
        <v>4516552522125-1</v>
      </c>
      <c r="P242">
        <v>1</v>
      </c>
    </row>
    <row r="243" spans="1:16" x14ac:dyDescent="0.55000000000000004">
      <c r="A243" t="s">
        <v>10</v>
      </c>
      <c r="B243" t="str">
        <f>貼付!$C$2&amp;マスタ登録抽出!A243</f>
        <v>4516552522125-2</v>
      </c>
      <c r="P243">
        <v>2</v>
      </c>
    </row>
    <row r="244" spans="1:16" x14ac:dyDescent="0.55000000000000004">
      <c r="A244" t="s">
        <v>11</v>
      </c>
      <c r="B244" t="str">
        <f>貼付!$C$2&amp;マスタ登録抽出!A244</f>
        <v>4516552522125-3</v>
      </c>
      <c r="P244">
        <v>3</v>
      </c>
    </row>
    <row r="245" spans="1:16" x14ac:dyDescent="0.55000000000000004">
      <c r="A245" t="s">
        <v>12</v>
      </c>
      <c r="B245" t="str">
        <f>貼付!$C$2&amp;マスタ登録抽出!A245</f>
        <v>4516552522125-4</v>
      </c>
      <c r="P245">
        <v>4</v>
      </c>
    </row>
    <row r="246" spans="1:16" x14ac:dyDescent="0.55000000000000004">
      <c r="A246" t="s">
        <v>13</v>
      </c>
      <c r="B246" t="str">
        <f>貼付!$C$2&amp;マスタ登録抽出!A246</f>
        <v>4516552522125-5</v>
      </c>
      <c r="P246">
        <v>5</v>
      </c>
    </row>
    <row r="247" spans="1:16" x14ac:dyDescent="0.55000000000000004">
      <c r="A247" t="s">
        <v>14</v>
      </c>
      <c r="B247" t="str">
        <f>貼付!$C$2&amp;マスタ登録抽出!A247</f>
        <v>4516552522125-6</v>
      </c>
      <c r="P247">
        <v>6</v>
      </c>
    </row>
    <row r="248" spans="1:16" x14ac:dyDescent="0.55000000000000004">
      <c r="A248" t="s">
        <v>15</v>
      </c>
      <c r="B248" t="str">
        <f>貼付!$C$2&amp;マスタ登録抽出!A248</f>
        <v>4516552522125-7</v>
      </c>
      <c r="P248">
        <v>7</v>
      </c>
    </row>
    <row r="249" spans="1:16" x14ac:dyDescent="0.55000000000000004">
      <c r="A249" t="s">
        <v>16</v>
      </c>
      <c r="B249" t="str">
        <f>貼付!$C$2&amp;マスタ登録抽出!A249</f>
        <v>4516552522125-8</v>
      </c>
      <c r="P249">
        <v>8</v>
      </c>
    </row>
    <row r="250" spans="1:16" x14ac:dyDescent="0.55000000000000004">
      <c r="A250" t="s">
        <v>17</v>
      </c>
      <c r="B250" t="str">
        <f>貼付!$C$2&amp;マスタ登録抽出!A250</f>
        <v>4516552522125-9</v>
      </c>
      <c r="P250">
        <v>9</v>
      </c>
    </row>
    <row r="251" spans="1:16" x14ac:dyDescent="0.55000000000000004">
      <c r="A251" t="s">
        <v>18</v>
      </c>
      <c r="B251" t="str">
        <f>貼付!$C$2&amp;マスタ登録抽出!A251</f>
        <v>4516552522125-10</v>
      </c>
      <c r="P251">
        <v>10</v>
      </c>
    </row>
    <row r="252" spans="1:16" x14ac:dyDescent="0.55000000000000004">
      <c r="A252" t="s">
        <v>9</v>
      </c>
      <c r="B252" t="str">
        <f>貼付!$C$2&amp;マスタ登録抽出!A252</f>
        <v>4516552522125-1</v>
      </c>
      <c r="P252">
        <v>1</v>
      </c>
    </row>
    <row r="253" spans="1:16" x14ac:dyDescent="0.55000000000000004">
      <c r="A253" t="s">
        <v>10</v>
      </c>
      <c r="B253" t="str">
        <f>貼付!$C$2&amp;マスタ登録抽出!A253</f>
        <v>4516552522125-2</v>
      </c>
      <c r="P253">
        <v>2</v>
      </c>
    </row>
    <row r="254" spans="1:16" x14ac:dyDescent="0.55000000000000004">
      <c r="A254" t="s">
        <v>11</v>
      </c>
      <c r="B254" t="str">
        <f>貼付!$C$2&amp;マスタ登録抽出!A254</f>
        <v>4516552522125-3</v>
      </c>
      <c r="P254">
        <v>3</v>
      </c>
    </row>
    <row r="255" spans="1:16" x14ac:dyDescent="0.55000000000000004">
      <c r="A255" t="s">
        <v>12</v>
      </c>
      <c r="B255" t="str">
        <f>貼付!$C$2&amp;マスタ登録抽出!A255</f>
        <v>4516552522125-4</v>
      </c>
      <c r="P255">
        <v>4</v>
      </c>
    </row>
    <row r="256" spans="1:16" x14ac:dyDescent="0.55000000000000004">
      <c r="A256" t="s">
        <v>13</v>
      </c>
      <c r="B256" t="str">
        <f>貼付!$C$2&amp;マスタ登録抽出!A256</f>
        <v>4516552522125-5</v>
      </c>
      <c r="P256">
        <v>5</v>
      </c>
    </row>
    <row r="257" spans="1:16" x14ac:dyDescent="0.55000000000000004">
      <c r="A257" t="s">
        <v>14</v>
      </c>
      <c r="B257" t="str">
        <f>貼付!$C$2&amp;マスタ登録抽出!A257</f>
        <v>4516552522125-6</v>
      </c>
      <c r="P257">
        <v>6</v>
      </c>
    </row>
    <row r="258" spans="1:16" x14ac:dyDescent="0.55000000000000004">
      <c r="A258" t="s">
        <v>15</v>
      </c>
      <c r="B258" t="str">
        <f>貼付!$C$2&amp;マスタ登録抽出!A258</f>
        <v>4516552522125-7</v>
      </c>
      <c r="P258">
        <v>7</v>
      </c>
    </row>
    <row r="259" spans="1:16" x14ac:dyDescent="0.55000000000000004">
      <c r="A259" t="s">
        <v>16</v>
      </c>
      <c r="B259" t="str">
        <f>貼付!$C$2&amp;マスタ登録抽出!A259</f>
        <v>4516552522125-8</v>
      </c>
      <c r="P259">
        <v>8</v>
      </c>
    </row>
    <row r="260" spans="1:16" x14ac:dyDescent="0.55000000000000004">
      <c r="A260" t="s">
        <v>17</v>
      </c>
      <c r="B260" t="str">
        <f>貼付!$C$2&amp;マスタ登録抽出!A260</f>
        <v>4516552522125-9</v>
      </c>
      <c r="P260">
        <v>9</v>
      </c>
    </row>
    <row r="261" spans="1:16" x14ac:dyDescent="0.55000000000000004">
      <c r="A261" t="s">
        <v>18</v>
      </c>
      <c r="B261" t="str">
        <f>貼付!$C$2&amp;マスタ登録抽出!A261</f>
        <v>4516552522125-10</v>
      </c>
      <c r="P261">
        <v>10</v>
      </c>
    </row>
    <row r="262" spans="1:16" x14ac:dyDescent="0.55000000000000004">
      <c r="A262" t="s">
        <v>9</v>
      </c>
      <c r="B262" t="str">
        <f>貼付!$C$2&amp;マスタ登録抽出!A262</f>
        <v>4516552522125-1</v>
      </c>
      <c r="P262">
        <v>1</v>
      </c>
    </row>
    <row r="263" spans="1:16" x14ac:dyDescent="0.55000000000000004">
      <c r="A263" t="s">
        <v>10</v>
      </c>
      <c r="B263" t="str">
        <f>貼付!$C$2&amp;マスタ登録抽出!A263</f>
        <v>4516552522125-2</v>
      </c>
      <c r="P263">
        <v>2</v>
      </c>
    </row>
    <row r="264" spans="1:16" x14ac:dyDescent="0.55000000000000004">
      <c r="A264" t="s">
        <v>11</v>
      </c>
      <c r="B264" t="str">
        <f>貼付!$C$2&amp;マスタ登録抽出!A264</f>
        <v>4516552522125-3</v>
      </c>
      <c r="P264">
        <v>3</v>
      </c>
    </row>
    <row r="265" spans="1:16" x14ac:dyDescent="0.55000000000000004">
      <c r="A265" t="s">
        <v>12</v>
      </c>
      <c r="B265" t="str">
        <f>貼付!$C$2&amp;マスタ登録抽出!A265</f>
        <v>4516552522125-4</v>
      </c>
      <c r="P265">
        <v>4</v>
      </c>
    </row>
    <row r="266" spans="1:16" x14ac:dyDescent="0.55000000000000004">
      <c r="A266" t="s">
        <v>13</v>
      </c>
      <c r="B266" t="str">
        <f>貼付!$C$2&amp;マスタ登録抽出!A266</f>
        <v>4516552522125-5</v>
      </c>
      <c r="P266">
        <v>5</v>
      </c>
    </row>
    <row r="267" spans="1:16" x14ac:dyDescent="0.55000000000000004">
      <c r="A267" t="s">
        <v>14</v>
      </c>
      <c r="B267" t="str">
        <f>貼付!$C$2&amp;マスタ登録抽出!A267</f>
        <v>4516552522125-6</v>
      </c>
      <c r="P267">
        <v>6</v>
      </c>
    </row>
    <row r="268" spans="1:16" x14ac:dyDescent="0.55000000000000004">
      <c r="A268" t="s">
        <v>15</v>
      </c>
      <c r="B268" t="str">
        <f>貼付!$C$2&amp;マスタ登録抽出!A268</f>
        <v>4516552522125-7</v>
      </c>
      <c r="P268">
        <v>7</v>
      </c>
    </row>
    <row r="269" spans="1:16" x14ac:dyDescent="0.55000000000000004">
      <c r="A269" t="s">
        <v>16</v>
      </c>
      <c r="B269" t="str">
        <f>貼付!$C$2&amp;マスタ登録抽出!A269</f>
        <v>4516552522125-8</v>
      </c>
      <c r="P269">
        <v>8</v>
      </c>
    </row>
    <row r="270" spans="1:16" x14ac:dyDescent="0.55000000000000004">
      <c r="A270" t="s">
        <v>17</v>
      </c>
      <c r="B270" t="str">
        <f>貼付!$C$2&amp;マスタ登録抽出!A270</f>
        <v>4516552522125-9</v>
      </c>
      <c r="P270">
        <v>9</v>
      </c>
    </row>
    <row r="271" spans="1:16" x14ac:dyDescent="0.55000000000000004">
      <c r="A271" t="s">
        <v>18</v>
      </c>
      <c r="B271" t="str">
        <f>貼付!$C$2&amp;マスタ登録抽出!A271</f>
        <v>4516552522125-10</v>
      </c>
      <c r="P271">
        <v>10</v>
      </c>
    </row>
    <row r="272" spans="1:16" x14ac:dyDescent="0.55000000000000004">
      <c r="A272" t="s">
        <v>9</v>
      </c>
      <c r="B272" t="str">
        <f>貼付!$C$2&amp;マスタ登録抽出!A272</f>
        <v>4516552522125-1</v>
      </c>
      <c r="P272">
        <v>1</v>
      </c>
    </row>
    <row r="273" spans="1:16" x14ac:dyDescent="0.55000000000000004">
      <c r="A273" t="s">
        <v>10</v>
      </c>
      <c r="B273" t="str">
        <f>貼付!$C$2&amp;マスタ登録抽出!A273</f>
        <v>4516552522125-2</v>
      </c>
      <c r="P273">
        <v>2</v>
      </c>
    </row>
    <row r="274" spans="1:16" x14ac:dyDescent="0.55000000000000004">
      <c r="A274" t="s">
        <v>11</v>
      </c>
      <c r="B274" t="str">
        <f>貼付!$C$2&amp;マスタ登録抽出!A274</f>
        <v>4516552522125-3</v>
      </c>
      <c r="P274">
        <v>3</v>
      </c>
    </row>
    <row r="275" spans="1:16" x14ac:dyDescent="0.55000000000000004">
      <c r="A275" t="s">
        <v>12</v>
      </c>
      <c r="B275" t="str">
        <f>貼付!$C$2&amp;マスタ登録抽出!A275</f>
        <v>4516552522125-4</v>
      </c>
      <c r="P275">
        <v>4</v>
      </c>
    </row>
    <row r="276" spans="1:16" x14ac:dyDescent="0.55000000000000004">
      <c r="A276" t="s">
        <v>13</v>
      </c>
      <c r="B276" t="str">
        <f>貼付!$C$2&amp;マスタ登録抽出!A276</f>
        <v>4516552522125-5</v>
      </c>
      <c r="P276">
        <v>5</v>
      </c>
    </row>
    <row r="277" spans="1:16" x14ac:dyDescent="0.55000000000000004">
      <c r="A277" t="s">
        <v>14</v>
      </c>
      <c r="B277" t="str">
        <f>貼付!$C$2&amp;マスタ登録抽出!A277</f>
        <v>4516552522125-6</v>
      </c>
      <c r="P277">
        <v>6</v>
      </c>
    </row>
    <row r="278" spans="1:16" x14ac:dyDescent="0.55000000000000004">
      <c r="A278" t="s">
        <v>15</v>
      </c>
      <c r="B278" t="str">
        <f>貼付!$C$2&amp;マスタ登録抽出!A278</f>
        <v>4516552522125-7</v>
      </c>
      <c r="P278">
        <v>7</v>
      </c>
    </row>
    <row r="279" spans="1:16" x14ac:dyDescent="0.55000000000000004">
      <c r="A279" t="s">
        <v>16</v>
      </c>
      <c r="B279" t="str">
        <f>貼付!$C$2&amp;マスタ登録抽出!A279</f>
        <v>4516552522125-8</v>
      </c>
      <c r="P279">
        <v>8</v>
      </c>
    </row>
    <row r="280" spans="1:16" x14ac:dyDescent="0.55000000000000004">
      <c r="A280" t="s">
        <v>17</v>
      </c>
      <c r="B280" t="str">
        <f>貼付!$C$2&amp;マスタ登録抽出!A280</f>
        <v>4516552522125-9</v>
      </c>
      <c r="P280">
        <v>9</v>
      </c>
    </row>
    <row r="281" spans="1:16" x14ac:dyDescent="0.55000000000000004">
      <c r="A281" t="s">
        <v>18</v>
      </c>
      <c r="B281" t="str">
        <f>貼付!$C$2&amp;マスタ登録抽出!A281</f>
        <v>4516552522125-10</v>
      </c>
      <c r="P281">
        <v>10</v>
      </c>
    </row>
    <row r="282" spans="1:16" x14ac:dyDescent="0.55000000000000004">
      <c r="A282" t="s">
        <v>9</v>
      </c>
      <c r="B282" t="str">
        <f>貼付!$C$2&amp;マスタ登録抽出!A282</f>
        <v>4516552522125-1</v>
      </c>
      <c r="P282">
        <v>1</v>
      </c>
    </row>
    <row r="283" spans="1:16" x14ac:dyDescent="0.55000000000000004">
      <c r="A283" t="s">
        <v>10</v>
      </c>
      <c r="B283" t="str">
        <f>貼付!$C$2&amp;マスタ登録抽出!A283</f>
        <v>4516552522125-2</v>
      </c>
      <c r="P283">
        <v>2</v>
      </c>
    </row>
    <row r="284" spans="1:16" x14ac:dyDescent="0.55000000000000004">
      <c r="A284" t="s">
        <v>11</v>
      </c>
      <c r="B284" t="str">
        <f>貼付!$C$2&amp;マスタ登録抽出!A284</f>
        <v>4516552522125-3</v>
      </c>
      <c r="P284">
        <v>3</v>
      </c>
    </row>
    <row r="285" spans="1:16" x14ac:dyDescent="0.55000000000000004">
      <c r="A285" t="s">
        <v>12</v>
      </c>
      <c r="B285" t="str">
        <f>貼付!$C$2&amp;マスタ登録抽出!A285</f>
        <v>4516552522125-4</v>
      </c>
      <c r="P285">
        <v>4</v>
      </c>
    </row>
    <row r="286" spans="1:16" x14ac:dyDescent="0.55000000000000004">
      <c r="A286" t="s">
        <v>13</v>
      </c>
      <c r="B286" t="str">
        <f>貼付!$C$2&amp;マスタ登録抽出!A286</f>
        <v>4516552522125-5</v>
      </c>
      <c r="P286">
        <v>5</v>
      </c>
    </row>
    <row r="287" spans="1:16" x14ac:dyDescent="0.55000000000000004">
      <c r="A287" t="s">
        <v>14</v>
      </c>
      <c r="B287" t="str">
        <f>貼付!$C$2&amp;マスタ登録抽出!A287</f>
        <v>4516552522125-6</v>
      </c>
      <c r="P287">
        <v>6</v>
      </c>
    </row>
    <row r="288" spans="1:16" x14ac:dyDescent="0.55000000000000004">
      <c r="A288" t="s">
        <v>15</v>
      </c>
      <c r="B288" t="str">
        <f>貼付!$C$2&amp;マスタ登録抽出!A288</f>
        <v>4516552522125-7</v>
      </c>
      <c r="P288">
        <v>7</v>
      </c>
    </row>
    <row r="289" spans="1:16" x14ac:dyDescent="0.55000000000000004">
      <c r="A289" t="s">
        <v>16</v>
      </c>
      <c r="B289" t="str">
        <f>貼付!$C$2&amp;マスタ登録抽出!A289</f>
        <v>4516552522125-8</v>
      </c>
      <c r="P289">
        <v>8</v>
      </c>
    </row>
    <row r="290" spans="1:16" x14ac:dyDescent="0.55000000000000004">
      <c r="A290" t="s">
        <v>17</v>
      </c>
      <c r="B290" t="str">
        <f>貼付!$C$2&amp;マスタ登録抽出!A290</f>
        <v>4516552522125-9</v>
      </c>
      <c r="P290">
        <v>9</v>
      </c>
    </row>
    <row r="291" spans="1:16" x14ac:dyDescent="0.55000000000000004">
      <c r="A291" t="s">
        <v>18</v>
      </c>
      <c r="B291" t="str">
        <f>貼付!$C$2&amp;マスタ登録抽出!A291</f>
        <v>4516552522125-10</v>
      </c>
      <c r="P291">
        <v>10</v>
      </c>
    </row>
    <row r="292" spans="1:16" x14ac:dyDescent="0.55000000000000004">
      <c r="A292" t="s">
        <v>9</v>
      </c>
      <c r="B292" t="str">
        <f>貼付!$C$2&amp;マスタ登録抽出!A292</f>
        <v>4516552522125-1</v>
      </c>
      <c r="P292">
        <v>1</v>
      </c>
    </row>
    <row r="293" spans="1:16" x14ac:dyDescent="0.55000000000000004">
      <c r="A293" t="s">
        <v>10</v>
      </c>
      <c r="B293" t="str">
        <f>貼付!$C$2&amp;マスタ登録抽出!A293</f>
        <v>4516552522125-2</v>
      </c>
      <c r="P293">
        <v>2</v>
      </c>
    </row>
    <row r="294" spans="1:16" x14ac:dyDescent="0.55000000000000004">
      <c r="A294" t="s">
        <v>11</v>
      </c>
      <c r="B294" t="str">
        <f>貼付!$C$2&amp;マスタ登録抽出!A294</f>
        <v>4516552522125-3</v>
      </c>
      <c r="P294">
        <v>3</v>
      </c>
    </row>
    <row r="295" spans="1:16" x14ac:dyDescent="0.55000000000000004">
      <c r="A295" t="s">
        <v>12</v>
      </c>
      <c r="B295" t="str">
        <f>貼付!$C$2&amp;マスタ登録抽出!A295</f>
        <v>4516552522125-4</v>
      </c>
      <c r="P295">
        <v>4</v>
      </c>
    </row>
    <row r="296" spans="1:16" x14ac:dyDescent="0.55000000000000004">
      <c r="A296" t="s">
        <v>13</v>
      </c>
      <c r="B296" t="str">
        <f>貼付!$C$2&amp;マスタ登録抽出!A296</f>
        <v>4516552522125-5</v>
      </c>
      <c r="P296">
        <v>5</v>
      </c>
    </row>
    <row r="297" spans="1:16" x14ac:dyDescent="0.55000000000000004">
      <c r="A297" t="s">
        <v>14</v>
      </c>
      <c r="B297" t="str">
        <f>貼付!$C$2&amp;マスタ登録抽出!A297</f>
        <v>4516552522125-6</v>
      </c>
      <c r="P297">
        <v>6</v>
      </c>
    </row>
    <row r="298" spans="1:16" x14ac:dyDescent="0.55000000000000004">
      <c r="A298" t="s">
        <v>15</v>
      </c>
      <c r="B298" t="str">
        <f>貼付!$C$2&amp;マスタ登録抽出!A298</f>
        <v>4516552522125-7</v>
      </c>
      <c r="P298">
        <v>7</v>
      </c>
    </row>
    <row r="299" spans="1:16" x14ac:dyDescent="0.55000000000000004">
      <c r="A299" t="s">
        <v>16</v>
      </c>
      <c r="B299" t="str">
        <f>貼付!$C$2&amp;マスタ登録抽出!A299</f>
        <v>4516552522125-8</v>
      </c>
      <c r="P299">
        <v>8</v>
      </c>
    </row>
    <row r="300" spans="1:16" x14ac:dyDescent="0.55000000000000004">
      <c r="A300" t="s">
        <v>17</v>
      </c>
      <c r="B300" t="str">
        <f>貼付!$C$2&amp;マスタ登録抽出!A300</f>
        <v>4516552522125-9</v>
      </c>
      <c r="P300">
        <v>9</v>
      </c>
    </row>
    <row r="301" spans="1:16" x14ac:dyDescent="0.55000000000000004">
      <c r="A301" t="s">
        <v>18</v>
      </c>
      <c r="B301" t="str">
        <f>貼付!$C$2&amp;マスタ登録抽出!A301</f>
        <v>4516552522125-10</v>
      </c>
      <c r="P301">
        <v>10</v>
      </c>
    </row>
    <row r="302" spans="1:16" x14ac:dyDescent="0.55000000000000004">
      <c r="A302" t="s">
        <v>9</v>
      </c>
      <c r="B302" t="str">
        <f>貼付!$C$2&amp;マスタ登録抽出!A302</f>
        <v>4516552522125-1</v>
      </c>
      <c r="P302">
        <v>1</v>
      </c>
    </row>
    <row r="303" spans="1:16" x14ac:dyDescent="0.55000000000000004">
      <c r="A303" t="s">
        <v>10</v>
      </c>
      <c r="B303" t="str">
        <f>貼付!$C$2&amp;マスタ登録抽出!A303</f>
        <v>4516552522125-2</v>
      </c>
      <c r="P303">
        <v>2</v>
      </c>
    </row>
    <row r="304" spans="1:16" x14ac:dyDescent="0.55000000000000004">
      <c r="A304" t="s">
        <v>11</v>
      </c>
      <c r="B304" t="str">
        <f>貼付!$C$2&amp;マスタ登録抽出!A304</f>
        <v>4516552522125-3</v>
      </c>
      <c r="P304">
        <v>3</v>
      </c>
    </row>
    <row r="305" spans="1:16" x14ac:dyDescent="0.55000000000000004">
      <c r="A305" t="s">
        <v>12</v>
      </c>
      <c r="B305" t="str">
        <f>貼付!$C$2&amp;マスタ登録抽出!A305</f>
        <v>4516552522125-4</v>
      </c>
      <c r="P305">
        <v>4</v>
      </c>
    </row>
    <row r="306" spans="1:16" x14ac:dyDescent="0.55000000000000004">
      <c r="A306" t="s">
        <v>13</v>
      </c>
      <c r="B306" t="str">
        <f>貼付!$C$2&amp;マスタ登録抽出!A306</f>
        <v>4516552522125-5</v>
      </c>
      <c r="P306">
        <v>5</v>
      </c>
    </row>
    <row r="307" spans="1:16" x14ac:dyDescent="0.55000000000000004">
      <c r="A307" t="s">
        <v>14</v>
      </c>
      <c r="B307" t="str">
        <f>貼付!$C$2&amp;マスタ登録抽出!A307</f>
        <v>4516552522125-6</v>
      </c>
      <c r="P307">
        <v>6</v>
      </c>
    </row>
    <row r="308" spans="1:16" x14ac:dyDescent="0.55000000000000004">
      <c r="A308" t="s">
        <v>15</v>
      </c>
      <c r="B308" t="str">
        <f>貼付!$C$2&amp;マスタ登録抽出!A308</f>
        <v>4516552522125-7</v>
      </c>
      <c r="P308">
        <v>7</v>
      </c>
    </row>
    <row r="309" spans="1:16" x14ac:dyDescent="0.55000000000000004">
      <c r="A309" t="s">
        <v>16</v>
      </c>
      <c r="B309" t="str">
        <f>貼付!$C$2&amp;マスタ登録抽出!A309</f>
        <v>4516552522125-8</v>
      </c>
      <c r="P309">
        <v>8</v>
      </c>
    </row>
    <row r="310" spans="1:16" x14ac:dyDescent="0.55000000000000004">
      <c r="A310" t="s">
        <v>17</v>
      </c>
      <c r="B310" t="str">
        <f>貼付!$C$2&amp;マスタ登録抽出!A310</f>
        <v>4516552522125-9</v>
      </c>
      <c r="P310">
        <v>9</v>
      </c>
    </row>
    <row r="311" spans="1:16" x14ac:dyDescent="0.55000000000000004">
      <c r="A311" t="s">
        <v>18</v>
      </c>
      <c r="B311" t="str">
        <f>貼付!$C$2&amp;マスタ登録抽出!A311</f>
        <v>4516552522125-10</v>
      </c>
      <c r="P311">
        <v>10</v>
      </c>
    </row>
    <row r="312" spans="1:16" x14ac:dyDescent="0.55000000000000004">
      <c r="A312" t="s">
        <v>9</v>
      </c>
      <c r="B312" t="str">
        <f>貼付!$C$2&amp;マスタ登録抽出!A312</f>
        <v>4516552522125-1</v>
      </c>
      <c r="P312">
        <v>1</v>
      </c>
    </row>
    <row r="313" spans="1:16" x14ac:dyDescent="0.55000000000000004">
      <c r="A313" t="s">
        <v>10</v>
      </c>
      <c r="B313" t="str">
        <f>貼付!$C$2&amp;マスタ登録抽出!A313</f>
        <v>4516552522125-2</v>
      </c>
      <c r="P313">
        <v>2</v>
      </c>
    </row>
    <row r="314" spans="1:16" x14ac:dyDescent="0.55000000000000004">
      <c r="A314" t="s">
        <v>11</v>
      </c>
      <c r="B314" t="str">
        <f>貼付!$C$2&amp;マスタ登録抽出!A314</f>
        <v>4516552522125-3</v>
      </c>
      <c r="P314">
        <v>3</v>
      </c>
    </row>
    <row r="315" spans="1:16" x14ac:dyDescent="0.55000000000000004">
      <c r="A315" t="s">
        <v>12</v>
      </c>
      <c r="B315" t="str">
        <f>貼付!$C$2&amp;マスタ登録抽出!A315</f>
        <v>4516552522125-4</v>
      </c>
      <c r="P315">
        <v>4</v>
      </c>
    </row>
    <row r="316" spans="1:16" x14ac:dyDescent="0.55000000000000004">
      <c r="A316" t="s">
        <v>13</v>
      </c>
      <c r="B316" t="str">
        <f>貼付!$C$2&amp;マスタ登録抽出!A316</f>
        <v>4516552522125-5</v>
      </c>
      <c r="P316">
        <v>5</v>
      </c>
    </row>
    <row r="317" spans="1:16" x14ac:dyDescent="0.55000000000000004">
      <c r="A317" t="s">
        <v>14</v>
      </c>
      <c r="B317" t="str">
        <f>貼付!$C$2&amp;マスタ登録抽出!A317</f>
        <v>4516552522125-6</v>
      </c>
      <c r="P317">
        <v>6</v>
      </c>
    </row>
    <row r="318" spans="1:16" x14ac:dyDescent="0.55000000000000004">
      <c r="A318" t="s">
        <v>15</v>
      </c>
      <c r="B318" t="str">
        <f>貼付!$C$2&amp;マスタ登録抽出!A318</f>
        <v>4516552522125-7</v>
      </c>
      <c r="P318">
        <v>7</v>
      </c>
    </row>
    <row r="319" spans="1:16" x14ac:dyDescent="0.55000000000000004">
      <c r="A319" t="s">
        <v>16</v>
      </c>
      <c r="B319" t="str">
        <f>貼付!$C$2&amp;マスタ登録抽出!A319</f>
        <v>4516552522125-8</v>
      </c>
      <c r="P319">
        <v>8</v>
      </c>
    </row>
    <row r="320" spans="1:16" x14ac:dyDescent="0.55000000000000004">
      <c r="A320" t="s">
        <v>17</v>
      </c>
      <c r="B320" t="str">
        <f>貼付!$C$2&amp;マスタ登録抽出!A320</f>
        <v>4516552522125-9</v>
      </c>
      <c r="P320">
        <v>9</v>
      </c>
    </row>
    <row r="321" spans="1:16" x14ac:dyDescent="0.55000000000000004">
      <c r="A321" t="s">
        <v>18</v>
      </c>
      <c r="B321" t="str">
        <f>貼付!$C$2&amp;マスタ登録抽出!A321</f>
        <v>4516552522125-10</v>
      </c>
      <c r="P321">
        <v>10</v>
      </c>
    </row>
    <row r="322" spans="1:16" x14ac:dyDescent="0.55000000000000004">
      <c r="A322" t="s">
        <v>9</v>
      </c>
      <c r="B322" t="str">
        <f>貼付!$C$2&amp;マスタ登録抽出!A322</f>
        <v>4516552522125-1</v>
      </c>
      <c r="P322">
        <v>1</v>
      </c>
    </row>
    <row r="323" spans="1:16" x14ac:dyDescent="0.55000000000000004">
      <c r="A323" t="s">
        <v>10</v>
      </c>
      <c r="B323" t="str">
        <f>貼付!$C$2&amp;マスタ登録抽出!A323</f>
        <v>4516552522125-2</v>
      </c>
      <c r="P323">
        <v>2</v>
      </c>
    </row>
    <row r="324" spans="1:16" x14ac:dyDescent="0.55000000000000004">
      <c r="A324" t="s">
        <v>11</v>
      </c>
      <c r="B324" t="str">
        <f>貼付!$C$2&amp;マスタ登録抽出!A324</f>
        <v>4516552522125-3</v>
      </c>
      <c r="P324">
        <v>3</v>
      </c>
    </row>
    <row r="325" spans="1:16" x14ac:dyDescent="0.55000000000000004">
      <c r="A325" t="s">
        <v>12</v>
      </c>
      <c r="B325" t="str">
        <f>貼付!$C$2&amp;マスタ登録抽出!A325</f>
        <v>4516552522125-4</v>
      </c>
      <c r="P325">
        <v>4</v>
      </c>
    </row>
    <row r="326" spans="1:16" x14ac:dyDescent="0.55000000000000004">
      <c r="A326" t="s">
        <v>13</v>
      </c>
      <c r="B326" t="str">
        <f>貼付!$C$2&amp;マスタ登録抽出!A326</f>
        <v>4516552522125-5</v>
      </c>
      <c r="P326">
        <v>5</v>
      </c>
    </row>
    <row r="327" spans="1:16" x14ac:dyDescent="0.55000000000000004">
      <c r="A327" t="s">
        <v>14</v>
      </c>
      <c r="B327" t="str">
        <f>貼付!$C$2&amp;マスタ登録抽出!A327</f>
        <v>4516552522125-6</v>
      </c>
      <c r="P327">
        <v>6</v>
      </c>
    </row>
    <row r="328" spans="1:16" x14ac:dyDescent="0.55000000000000004">
      <c r="A328" t="s">
        <v>15</v>
      </c>
      <c r="B328" t="str">
        <f>貼付!$C$2&amp;マスタ登録抽出!A328</f>
        <v>4516552522125-7</v>
      </c>
      <c r="P328">
        <v>7</v>
      </c>
    </row>
    <row r="329" spans="1:16" x14ac:dyDescent="0.55000000000000004">
      <c r="A329" t="s">
        <v>16</v>
      </c>
      <c r="B329" t="str">
        <f>貼付!$C$2&amp;マスタ登録抽出!A329</f>
        <v>4516552522125-8</v>
      </c>
      <c r="P329">
        <v>8</v>
      </c>
    </row>
    <row r="330" spans="1:16" x14ac:dyDescent="0.55000000000000004">
      <c r="A330" t="s">
        <v>17</v>
      </c>
      <c r="B330" t="str">
        <f>貼付!$C$2&amp;マスタ登録抽出!A330</f>
        <v>4516552522125-9</v>
      </c>
      <c r="P330">
        <v>9</v>
      </c>
    </row>
    <row r="331" spans="1:16" x14ac:dyDescent="0.55000000000000004">
      <c r="A331" t="s">
        <v>18</v>
      </c>
      <c r="B331" t="str">
        <f>貼付!$C$2&amp;マスタ登録抽出!A331</f>
        <v>4516552522125-10</v>
      </c>
      <c r="P331">
        <v>10</v>
      </c>
    </row>
    <row r="332" spans="1:16" x14ac:dyDescent="0.55000000000000004">
      <c r="A332" t="s">
        <v>9</v>
      </c>
      <c r="B332" t="str">
        <f>貼付!$C$2&amp;マスタ登録抽出!A332</f>
        <v>4516552522125-1</v>
      </c>
      <c r="P332">
        <v>1</v>
      </c>
    </row>
    <row r="333" spans="1:16" x14ac:dyDescent="0.55000000000000004">
      <c r="A333" t="s">
        <v>10</v>
      </c>
      <c r="B333" t="str">
        <f>貼付!$C$2&amp;マスタ登録抽出!A333</f>
        <v>4516552522125-2</v>
      </c>
      <c r="P333">
        <v>2</v>
      </c>
    </row>
    <row r="334" spans="1:16" x14ac:dyDescent="0.55000000000000004">
      <c r="A334" t="s">
        <v>11</v>
      </c>
      <c r="B334" t="str">
        <f>貼付!$C$2&amp;マスタ登録抽出!A334</f>
        <v>4516552522125-3</v>
      </c>
      <c r="P334">
        <v>3</v>
      </c>
    </row>
    <row r="335" spans="1:16" x14ac:dyDescent="0.55000000000000004">
      <c r="A335" t="s">
        <v>12</v>
      </c>
      <c r="B335" t="str">
        <f>貼付!$C$2&amp;マスタ登録抽出!A335</f>
        <v>4516552522125-4</v>
      </c>
      <c r="P335">
        <v>4</v>
      </c>
    </row>
    <row r="336" spans="1:16" x14ac:dyDescent="0.55000000000000004">
      <c r="A336" t="s">
        <v>13</v>
      </c>
      <c r="B336" t="str">
        <f>貼付!$C$2&amp;マスタ登録抽出!A336</f>
        <v>4516552522125-5</v>
      </c>
      <c r="P336">
        <v>5</v>
      </c>
    </row>
    <row r="337" spans="1:16" x14ac:dyDescent="0.55000000000000004">
      <c r="A337" t="s">
        <v>14</v>
      </c>
      <c r="B337" t="str">
        <f>貼付!$C$2&amp;マスタ登録抽出!A337</f>
        <v>4516552522125-6</v>
      </c>
      <c r="P337">
        <v>6</v>
      </c>
    </row>
    <row r="338" spans="1:16" x14ac:dyDescent="0.55000000000000004">
      <c r="A338" t="s">
        <v>15</v>
      </c>
      <c r="B338" t="str">
        <f>貼付!$C$2&amp;マスタ登録抽出!A338</f>
        <v>4516552522125-7</v>
      </c>
      <c r="P338">
        <v>7</v>
      </c>
    </row>
    <row r="339" spans="1:16" x14ac:dyDescent="0.55000000000000004">
      <c r="A339" t="s">
        <v>16</v>
      </c>
      <c r="B339" t="str">
        <f>貼付!$C$2&amp;マスタ登録抽出!A339</f>
        <v>4516552522125-8</v>
      </c>
      <c r="P339">
        <v>8</v>
      </c>
    </row>
    <row r="340" spans="1:16" x14ac:dyDescent="0.55000000000000004">
      <c r="A340" t="s">
        <v>17</v>
      </c>
      <c r="B340" t="str">
        <f>貼付!$C$2&amp;マスタ登録抽出!A340</f>
        <v>4516552522125-9</v>
      </c>
      <c r="P340">
        <v>9</v>
      </c>
    </row>
    <row r="341" spans="1:16" x14ac:dyDescent="0.55000000000000004">
      <c r="A341" t="s">
        <v>18</v>
      </c>
      <c r="B341" t="str">
        <f>貼付!$C$2&amp;マスタ登録抽出!A341</f>
        <v>4516552522125-10</v>
      </c>
      <c r="P341">
        <v>10</v>
      </c>
    </row>
    <row r="342" spans="1:16" x14ac:dyDescent="0.55000000000000004">
      <c r="A342" t="s">
        <v>9</v>
      </c>
      <c r="B342" t="str">
        <f>貼付!$C$2&amp;マスタ登録抽出!A342</f>
        <v>4516552522125-1</v>
      </c>
      <c r="P342">
        <v>1</v>
      </c>
    </row>
    <row r="343" spans="1:16" x14ac:dyDescent="0.55000000000000004">
      <c r="A343" t="s">
        <v>10</v>
      </c>
      <c r="B343" t="str">
        <f>貼付!$C$2&amp;マスタ登録抽出!A343</f>
        <v>4516552522125-2</v>
      </c>
      <c r="P343">
        <v>2</v>
      </c>
    </row>
    <row r="344" spans="1:16" x14ac:dyDescent="0.55000000000000004">
      <c r="A344" t="s">
        <v>11</v>
      </c>
      <c r="B344" t="str">
        <f>貼付!$C$2&amp;マスタ登録抽出!A344</f>
        <v>4516552522125-3</v>
      </c>
      <c r="P344">
        <v>3</v>
      </c>
    </row>
    <row r="345" spans="1:16" x14ac:dyDescent="0.55000000000000004">
      <c r="A345" t="s">
        <v>12</v>
      </c>
      <c r="B345" t="str">
        <f>貼付!$C$2&amp;マスタ登録抽出!A345</f>
        <v>4516552522125-4</v>
      </c>
      <c r="P345">
        <v>4</v>
      </c>
    </row>
    <row r="346" spans="1:16" x14ac:dyDescent="0.55000000000000004">
      <c r="A346" t="s">
        <v>13</v>
      </c>
      <c r="B346" t="str">
        <f>貼付!$C$2&amp;マスタ登録抽出!A346</f>
        <v>4516552522125-5</v>
      </c>
      <c r="P346">
        <v>5</v>
      </c>
    </row>
    <row r="347" spans="1:16" x14ac:dyDescent="0.55000000000000004">
      <c r="A347" t="s">
        <v>14</v>
      </c>
      <c r="B347" t="str">
        <f>貼付!$C$2&amp;マスタ登録抽出!A347</f>
        <v>4516552522125-6</v>
      </c>
      <c r="P347">
        <v>6</v>
      </c>
    </row>
    <row r="348" spans="1:16" x14ac:dyDescent="0.55000000000000004">
      <c r="A348" t="s">
        <v>15</v>
      </c>
      <c r="B348" t="str">
        <f>貼付!$C$2&amp;マスタ登録抽出!A348</f>
        <v>4516552522125-7</v>
      </c>
      <c r="P348">
        <v>7</v>
      </c>
    </row>
    <row r="349" spans="1:16" x14ac:dyDescent="0.55000000000000004">
      <c r="A349" t="s">
        <v>16</v>
      </c>
      <c r="B349" t="str">
        <f>貼付!$C$2&amp;マスタ登録抽出!A349</f>
        <v>4516552522125-8</v>
      </c>
      <c r="P349">
        <v>8</v>
      </c>
    </row>
    <row r="350" spans="1:16" x14ac:dyDescent="0.55000000000000004">
      <c r="A350" t="s">
        <v>17</v>
      </c>
      <c r="B350" t="str">
        <f>貼付!$C$2&amp;マスタ登録抽出!A350</f>
        <v>4516552522125-9</v>
      </c>
      <c r="P350">
        <v>9</v>
      </c>
    </row>
    <row r="351" spans="1:16" x14ac:dyDescent="0.55000000000000004">
      <c r="A351" t="s">
        <v>18</v>
      </c>
      <c r="B351" t="str">
        <f>貼付!$C$2&amp;マスタ登録抽出!A351</f>
        <v>4516552522125-10</v>
      </c>
      <c r="P351">
        <v>10</v>
      </c>
    </row>
    <row r="352" spans="1:16" x14ac:dyDescent="0.55000000000000004">
      <c r="A352" t="s">
        <v>9</v>
      </c>
      <c r="B352" t="str">
        <f>貼付!$C$2&amp;マスタ登録抽出!A352</f>
        <v>4516552522125-1</v>
      </c>
      <c r="P352">
        <v>1</v>
      </c>
    </row>
    <row r="353" spans="1:16" x14ac:dyDescent="0.55000000000000004">
      <c r="A353" t="s">
        <v>10</v>
      </c>
      <c r="B353" t="str">
        <f>貼付!$C$2&amp;マスタ登録抽出!A353</f>
        <v>4516552522125-2</v>
      </c>
      <c r="P353">
        <v>2</v>
      </c>
    </row>
    <row r="354" spans="1:16" x14ac:dyDescent="0.55000000000000004">
      <c r="A354" t="s">
        <v>11</v>
      </c>
      <c r="B354" t="str">
        <f>貼付!$C$2&amp;マスタ登録抽出!A354</f>
        <v>4516552522125-3</v>
      </c>
      <c r="P354">
        <v>3</v>
      </c>
    </row>
    <row r="355" spans="1:16" x14ac:dyDescent="0.55000000000000004">
      <c r="A355" t="s">
        <v>12</v>
      </c>
      <c r="B355" t="str">
        <f>貼付!$C$2&amp;マスタ登録抽出!A355</f>
        <v>4516552522125-4</v>
      </c>
      <c r="P355">
        <v>4</v>
      </c>
    </row>
    <row r="356" spans="1:16" x14ac:dyDescent="0.55000000000000004">
      <c r="A356" t="s">
        <v>13</v>
      </c>
      <c r="B356" t="str">
        <f>貼付!$C$2&amp;マスタ登録抽出!A356</f>
        <v>4516552522125-5</v>
      </c>
      <c r="P356">
        <v>5</v>
      </c>
    </row>
    <row r="357" spans="1:16" x14ac:dyDescent="0.55000000000000004">
      <c r="A357" t="s">
        <v>14</v>
      </c>
      <c r="B357" t="str">
        <f>貼付!$C$2&amp;マスタ登録抽出!A357</f>
        <v>4516552522125-6</v>
      </c>
      <c r="P357">
        <v>6</v>
      </c>
    </row>
    <row r="358" spans="1:16" x14ac:dyDescent="0.55000000000000004">
      <c r="A358" t="s">
        <v>15</v>
      </c>
      <c r="B358" t="str">
        <f>貼付!$C$2&amp;マスタ登録抽出!A358</f>
        <v>4516552522125-7</v>
      </c>
      <c r="P358">
        <v>7</v>
      </c>
    </row>
    <row r="359" spans="1:16" x14ac:dyDescent="0.55000000000000004">
      <c r="A359" t="s">
        <v>16</v>
      </c>
      <c r="B359" t="str">
        <f>貼付!$C$2&amp;マスタ登録抽出!A359</f>
        <v>4516552522125-8</v>
      </c>
      <c r="P359">
        <v>8</v>
      </c>
    </row>
    <row r="360" spans="1:16" x14ac:dyDescent="0.55000000000000004">
      <c r="A360" t="s">
        <v>17</v>
      </c>
      <c r="B360" t="str">
        <f>貼付!$C$2&amp;マスタ登録抽出!A360</f>
        <v>4516552522125-9</v>
      </c>
      <c r="P360">
        <v>9</v>
      </c>
    </row>
    <row r="361" spans="1:16" x14ac:dyDescent="0.55000000000000004">
      <c r="A361" t="s">
        <v>18</v>
      </c>
      <c r="B361" t="str">
        <f>貼付!$C$2&amp;マスタ登録抽出!A361</f>
        <v>4516552522125-10</v>
      </c>
      <c r="P361">
        <v>10</v>
      </c>
    </row>
    <row r="362" spans="1:16" x14ac:dyDescent="0.55000000000000004">
      <c r="A362" t="s">
        <v>9</v>
      </c>
      <c r="B362" t="str">
        <f>貼付!$C$2&amp;マスタ登録抽出!A362</f>
        <v>4516552522125-1</v>
      </c>
      <c r="P362">
        <v>1</v>
      </c>
    </row>
    <row r="363" spans="1:16" x14ac:dyDescent="0.55000000000000004">
      <c r="A363" t="s">
        <v>10</v>
      </c>
      <c r="B363" t="str">
        <f>貼付!$C$2&amp;マスタ登録抽出!A363</f>
        <v>4516552522125-2</v>
      </c>
      <c r="P363">
        <v>2</v>
      </c>
    </row>
    <row r="364" spans="1:16" x14ac:dyDescent="0.55000000000000004">
      <c r="A364" t="s">
        <v>11</v>
      </c>
      <c r="B364" t="str">
        <f>貼付!$C$2&amp;マスタ登録抽出!A364</f>
        <v>4516552522125-3</v>
      </c>
      <c r="P364">
        <v>3</v>
      </c>
    </row>
    <row r="365" spans="1:16" x14ac:dyDescent="0.55000000000000004">
      <c r="A365" t="s">
        <v>12</v>
      </c>
      <c r="B365" t="str">
        <f>貼付!$C$2&amp;マスタ登録抽出!A365</f>
        <v>4516552522125-4</v>
      </c>
      <c r="P365">
        <v>4</v>
      </c>
    </row>
    <row r="366" spans="1:16" x14ac:dyDescent="0.55000000000000004">
      <c r="A366" t="s">
        <v>13</v>
      </c>
      <c r="B366" t="str">
        <f>貼付!$C$2&amp;マスタ登録抽出!A366</f>
        <v>4516552522125-5</v>
      </c>
      <c r="P366">
        <v>5</v>
      </c>
    </row>
    <row r="367" spans="1:16" x14ac:dyDescent="0.55000000000000004">
      <c r="A367" t="s">
        <v>14</v>
      </c>
      <c r="B367" t="str">
        <f>貼付!$C$2&amp;マスタ登録抽出!A367</f>
        <v>4516552522125-6</v>
      </c>
      <c r="P367">
        <v>6</v>
      </c>
    </row>
    <row r="368" spans="1:16" x14ac:dyDescent="0.55000000000000004">
      <c r="A368" t="s">
        <v>15</v>
      </c>
      <c r="B368" t="str">
        <f>貼付!$C$2&amp;マスタ登録抽出!A368</f>
        <v>4516552522125-7</v>
      </c>
      <c r="P368">
        <v>7</v>
      </c>
    </row>
    <row r="369" spans="1:16" x14ac:dyDescent="0.55000000000000004">
      <c r="A369" t="s">
        <v>16</v>
      </c>
      <c r="B369" t="str">
        <f>貼付!$C$2&amp;マスタ登録抽出!A369</f>
        <v>4516552522125-8</v>
      </c>
      <c r="P369">
        <v>8</v>
      </c>
    </row>
    <row r="370" spans="1:16" x14ac:dyDescent="0.55000000000000004">
      <c r="A370" t="s">
        <v>17</v>
      </c>
      <c r="B370" t="str">
        <f>貼付!$C$2&amp;マスタ登録抽出!A370</f>
        <v>4516552522125-9</v>
      </c>
      <c r="P370">
        <v>9</v>
      </c>
    </row>
    <row r="371" spans="1:16" x14ac:dyDescent="0.55000000000000004">
      <c r="A371" t="s">
        <v>18</v>
      </c>
      <c r="B371" t="str">
        <f>貼付!$C$2&amp;マスタ登録抽出!A371</f>
        <v>4516552522125-10</v>
      </c>
      <c r="P371">
        <v>10</v>
      </c>
    </row>
    <row r="372" spans="1:16" x14ac:dyDescent="0.55000000000000004">
      <c r="A372" t="s">
        <v>9</v>
      </c>
      <c r="B372" t="str">
        <f>貼付!$C$2&amp;マスタ登録抽出!A372</f>
        <v>4516552522125-1</v>
      </c>
      <c r="P372">
        <v>1</v>
      </c>
    </row>
    <row r="373" spans="1:16" x14ac:dyDescent="0.55000000000000004">
      <c r="A373" t="s">
        <v>10</v>
      </c>
      <c r="B373" t="str">
        <f>貼付!$C$2&amp;マスタ登録抽出!A373</f>
        <v>4516552522125-2</v>
      </c>
      <c r="P373">
        <v>2</v>
      </c>
    </row>
    <row r="374" spans="1:16" x14ac:dyDescent="0.55000000000000004">
      <c r="A374" t="s">
        <v>11</v>
      </c>
      <c r="B374" t="str">
        <f>貼付!$C$2&amp;マスタ登録抽出!A374</f>
        <v>4516552522125-3</v>
      </c>
      <c r="P374">
        <v>3</v>
      </c>
    </row>
    <row r="375" spans="1:16" x14ac:dyDescent="0.55000000000000004">
      <c r="A375" t="s">
        <v>12</v>
      </c>
      <c r="B375" t="str">
        <f>貼付!$C$2&amp;マスタ登録抽出!A375</f>
        <v>4516552522125-4</v>
      </c>
      <c r="P375">
        <v>4</v>
      </c>
    </row>
    <row r="376" spans="1:16" x14ac:dyDescent="0.55000000000000004">
      <c r="A376" t="s">
        <v>13</v>
      </c>
      <c r="B376" t="str">
        <f>貼付!$C$2&amp;マスタ登録抽出!A376</f>
        <v>4516552522125-5</v>
      </c>
      <c r="P376">
        <v>5</v>
      </c>
    </row>
    <row r="377" spans="1:16" x14ac:dyDescent="0.55000000000000004">
      <c r="A377" t="s">
        <v>14</v>
      </c>
      <c r="B377" t="str">
        <f>貼付!$C$2&amp;マスタ登録抽出!A377</f>
        <v>4516552522125-6</v>
      </c>
      <c r="P377">
        <v>6</v>
      </c>
    </row>
    <row r="378" spans="1:16" x14ac:dyDescent="0.55000000000000004">
      <c r="A378" t="s">
        <v>15</v>
      </c>
      <c r="B378" t="str">
        <f>貼付!$C$2&amp;マスタ登録抽出!A378</f>
        <v>4516552522125-7</v>
      </c>
      <c r="P378">
        <v>7</v>
      </c>
    </row>
    <row r="379" spans="1:16" x14ac:dyDescent="0.55000000000000004">
      <c r="A379" t="s">
        <v>16</v>
      </c>
      <c r="B379" t="str">
        <f>貼付!$C$2&amp;マスタ登録抽出!A379</f>
        <v>4516552522125-8</v>
      </c>
      <c r="P379">
        <v>8</v>
      </c>
    </row>
    <row r="380" spans="1:16" x14ac:dyDescent="0.55000000000000004">
      <c r="A380" t="s">
        <v>17</v>
      </c>
      <c r="B380" t="str">
        <f>貼付!$C$2&amp;マスタ登録抽出!A380</f>
        <v>4516552522125-9</v>
      </c>
      <c r="P380">
        <v>9</v>
      </c>
    </row>
    <row r="381" spans="1:16" x14ac:dyDescent="0.55000000000000004">
      <c r="A381" t="s">
        <v>18</v>
      </c>
      <c r="B381" t="str">
        <f>貼付!$C$2&amp;マスタ登録抽出!A381</f>
        <v>4516552522125-10</v>
      </c>
      <c r="P381">
        <v>10</v>
      </c>
    </row>
    <row r="382" spans="1:16" x14ac:dyDescent="0.55000000000000004">
      <c r="A382" t="s">
        <v>9</v>
      </c>
      <c r="B382" t="str">
        <f>貼付!$C$2&amp;マスタ登録抽出!A382</f>
        <v>4516552522125-1</v>
      </c>
      <c r="P382">
        <v>1</v>
      </c>
    </row>
    <row r="383" spans="1:16" x14ac:dyDescent="0.55000000000000004">
      <c r="A383" t="s">
        <v>10</v>
      </c>
      <c r="B383" t="str">
        <f>貼付!$C$2&amp;マスタ登録抽出!A383</f>
        <v>4516552522125-2</v>
      </c>
      <c r="P383">
        <v>2</v>
      </c>
    </row>
    <row r="384" spans="1:16" x14ac:dyDescent="0.55000000000000004">
      <c r="A384" t="s">
        <v>11</v>
      </c>
      <c r="B384" t="str">
        <f>貼付!$C$2&amp;マスタ登録抽出!A384</f>
        <v>4516552522125-3</v>
      </c>
      <c r="P384">
        <v>3</v>
      </c>
    </row>
    <row r="385" spans="1:16" x14ac:dyDescent="0.55000000000000004">
      <c r="A385" t="s">
        <v>12</v>
      </c>
      <c r="B385" t="str">
        <f>貼付!$C$2&amp;マスタ登録抽出!A385</f>
        <v>4516552522125-4</v>
      </c>
      <c r="P385">
        <v>4</v>
      </c>
    </row>
    <row r="386" spans="1:16" x14ac:dyDescent="0.55000000000000004">
      <c r="A386" t="s">
        <v>13</v>
      </c>
      <c r="B386" t="str">
        <f>貼付!$C$2&amp;マスタ登録抽出!A386</f>
        <v>4516552522125-5</v>
      </c>
      <c r="P386">
        <v>5</v>
      </c>
    </row>
    <row r="387" spans="1:16" x14ac:dyDescent="0.55000000000000004">
      <c r="A387" t="s">
        <v>14</v>
      </c>
      <c r="B387" t="str">
        <f>貼付!$C$2&amp;マスタ登録抽出!A387</f>
        <v>4516552522125-6</v>
      </c>
      <c r="P387">
        <v>6</v>
      </c>
    </row>
    <row r="388" spans="1:16" x14ac:dyDescent="0.55000000000000004">
      <c r="A388" t="s">
        <v>15</v>
      </c>
      <c r="B388" t="str">
        <f>貼付!$C$2&amp;マスタ登録抽出!A388</f>
        <v>4516552522125-7</v>
      </c>
      <c r="P388">
        <v>7</v>
      </c>
    </row>
    <row r="389" spans="1:16" x14ac:dyDescent="0.55000000000000004">
      <c r="A389" t="s">
        <v>16</v>
      </c>
      <c r="B389" t="str">
        <f>貼付!$C$2&amp;マスタ登録抽出!A389</f>
        <v>4516552522125-8</v>
      </c>
      <c r="P389">
        <v>8</v>
      </c>
    </row>
    <row r="390" spans="1:16" x14ac:dyDescent="0.55000000000000004">
      <c r="A390" t="s">
        <v>17</v>
      </c>
      <c r="B390" t="str">
        <f>貼付!$C$2&amp;マスタ登録抽出!A390</f>
        <v>4516552522125-9</v>
      </c>
      <c r="P390">
        <v>9</v>
      </c>
    </row>
    <row r="391" spans="1:16" x14ac:dyDescent="0.55000000000000004">
      <c r="A391" t="s">
        <v>18</v>
      </c>
      <c r="B391" t="str">
        <f>貼付!$C$2&amp;マスタ登録抽出!A391</f>
        <v>4516552522125-10</v>
      </c>
      <c r="P391">
        <v>10</v>
      </c>
    </row>
    <row r="392" spans="1:16" x14ac:dyDescent="0.55000000000000004">
      <c r="A392" t="s">
        <v>9</v>
      </c>
      <c r="B392" t="str">
        <f>貼付!$C$2&amp;マスタ登録抽出!A392</f>
        <v>4516552522125-1</v>
      </c>
      <c r="P392">
        <v>1</v>
      </c>
    </row>
    <row r="393" spans="1:16" x14ac:dyDescent="0.55000000000000004">
      <c r="A393" t="s">
        <v>10</v>
      </c>
      <c r="B393" t="str">
        <f>貼付!$C$2&amp;マスタ登録抽出!A393</f>
        <v>4516552522125-2</v>
      </c>
      <c r="P393">
        <v>2</v>
      </c>
    </row>
    <row r="394" spans="1:16" x14ac:dyDescent="0.55000000000000004">
      <c r="A394" t="s">
        <v>11</v>
      </c>
      <c r="B394" t="str">
        <f>貼付!$C$2&amp;マスタ登録抽出!A394</f>
        <v>4516552522125-3</v>
      </c>
      <c r="P394">
        <v>3</v>
      </c>
    </row>
    <row r="395" spans="1:16" x14ac:dyDescent="0.55000000000000004">
      <c r="A395" t="s">
        <v>12</v>
      </c>
      <c r="B395" t="str">
        <f>貼付!$C$2&amp;マスタ登録抽出!A395</f>
        <v>4516552522125-4</v>
      </c>
      <c r="P395">
        <v>4</v>
      </c>
    </row>
    <row r="396" spans="1:16" x14ac:dyDescent="0.55000000000000004">
      <c r="A396" t="s">
        <v>13</v>
      </c>
      <c r="B396" t="str">
        <f>貼付!$C$2&amp;マスタ登録抽出!A396</f>
        <v>4516552522125-5</v>
      </c>
      <c r="P396">
        <v>5</v>
      </c>
    </row>
    <row r="397" spans="1:16" x14ac:dyDescent="0.55000000000000004">
      <c r="A397" t="s">
        <v>14</v>
      </c>
      <c r="B397" t="str">
        <f>貼付!$C$2&amp;マスタ登録抽出!A397</f>
        <v>4516552522125-6</v>
      </c>
      <c r="P397">
        <v>6</v>
      </c>
    </row>
    <row r="398" spans="1:16" x14ac:dyDescent="0.55000000000000004">
      <c r="A398" t="s">
        <v>15</v>
      </c>
      <c r="B398" t="str">
        <f>貼付!$C$2&amp;マスタ登録抽出!A398</f>
        <v>4516552522125-7</v>
      </c>
      <c r="P398">
        <v>7</v>
      </c>
    </row>
    <row r="399" spans="1:16" x14ac:dyDescent="0.55000000000000004">
      <c r="A399" t="s">
        <v>16</v>
      </c>
      <c r="B399" t="str">
        <f>貼付!$C$2&amp;マスタ登録抽出!A399</f>
        <v>4516552522125-8</v>
      </c>
      <c r="P399">
        <v>8</v>
      </c>
    </row>
    <row r="400" spans="1:16" x14ac:dyDescent="0.55000000000000004">
      <c r="A400" t="s">
        <v>17</v>
      </c>
      <c r="B400" t="str">
        <f>貼付!$C$2&amp;マスタ登録抽出!A400</f>
        <v>4516552522125-9</v>
      </c>
      <c r="P400">
        <v>9</v>
      </c>
    </row>
    <row r="401" spans="1:16" x14ac:dyDescent="0.55000000000000004">
      <c r="A401" t="s">
        <v>18</v>
      </c>
      <c r="B401" t="str">
        <f>貼付!$C$2&amp;マスタ登録抽出!A401</f>
        <v>4516552522125-10</v>
      </c>
      <c r="P401">
        <v>10</v>
      </c>
    </row>
    <row r="402" spans="1:16" x14ac:dyDescent="0.55000000000000004">
      <c r="A402" t="s">
        <v>9</v>
      </c>
      <c r="B402" t="str">
        <f>貼付!$C$2&amp;マスタ登録抽出!A402</f>
        <v>4516552522125-1</v>
      </c>
      <c r="P402">
        <v>1</v>
      </c>
    </row>
    <row r="403" spans="1:16" x14ac:dyDescent="0.55000000000000004">
      <c r="A403" t="s">
        <v>10</v>
      </c>
      <c r="B403" t="str">
        <f>貼付!$C$2&amp;マスタ登録抽出!A403</f>
        <v>4516552522125-2</v>
      </c>
      <c r="P403">
        <v>2</v>
      </c>
    </row>
    <row r="404" spans="1:16" x14ac:dyDescent="0.55000000000000004">
      <c r="A404" t="s">
        <v>11</v>
      </c>
      <c r="B404" t="str">
        <f>貼付!$C$2&amp;マスタ登録抽出!A404</f>
        <v>4516552522125-3</v>
      </c>
      <c r="P404">
        <v>3</v>
      </c>
    </row>
    <row r="405" spans="1:16" x14ac:dyDescent="0.55000000000000004">
      <c r="A405" t="s">
        <v>12</v>
      </c>
      <c r="B405" t="str">
        <f>貼付!$C$2&amp;マスタ登録抽出!A405</f>
        <v>4516552522125-4</v>
      </c>
      <c r="P405">
        <v>4</v>
      </c>
    </row>
    <row r="406" spans="1:16" x14ac:dyDescent="0.55000000000000004">
      <c r="A406" t="s">
        <v>13</v>
      </c>
      <c r="B406" t="str">
        <f>貼付!$C$2&amp;マスタ登録抽出!A406</f>
        <v>4516552522125-5</v>
      </c>
      <c r="P406">
        <v>5</v>
      </c>
    </row>
    <row r="407" spans="1:16" x14ac:dyDescent="0.55000000000000004">
      <c r="A407" t="s">
        <v>14</v>
      </c>
      <c r="B407" t="str">
        <f>貼付!$C$2&amp;マスタ登録抽出!A407</f>
        <v>4516552522125-6</v>
      </c>
      <c r="P407">
        <v>6</v>
      </c>
    </row>
    <row r="408" spans="1:16" x14ac:dyDescent="0.55000000000000004">
      <c r="A408" t="s">
        <v>15</v>
      </c>
      <c r="B408" t="str">
        <f>貼付!$C$2&amp;マスタ登録抽出!A408</f>
        <v>4516552522125-7</v>
      </c>
      <c r="P408">
        <v>7</v>
      </c>
    </row>
    <row r="409" spans="1:16" x14ac:dyDescent="0.55000000000000004">
      <c r="A409" t="s">
        <v>16</v>
      </c>
      <c r="B409" t="str">
        <f>貼付!$C$2&amp;マスタ登録抽出!A409</f>
        <v>4516552522125-8</v>
      </c>
      <c r="P409">
        <v>8</v>
      </c>
    </row>
    <row r="410" spans="1:16" x14ac:dyDescent="0.55000000000000004">
      <c r="A410" t="s">
        <v>17</v>
      </c>
      <c r="B410" t="str">
        <f>貼付!$C$2&amp;マスタ登録抽出!A410</f>
        <v>4516552522125-9</v>
      </c>
      <c r="P410">
        <v>9</v>
      </c>
    </row>
    <row r="411" spans="1:16" x14ac:dyDescent="0.55000000000000004">
      <c r="A411" t="s">
        <v>18</v>
      </c>
      <c r="B411" t="str">
        <f>貼付!$C$2&amp;マスタ登録抽出!A411</f>
        <v>4516552522125-10</v>
      </c>
      <c r="P411">
        <v>10</v>
      </c>
    </row>
    <row r="412" spans="1:16" x14ac:dyDescent="0.55000000000000004">
      <c r="A412" t="s">
        <v>9</v>
      </c>
      <c r="B412" t="str">
        <f>貼付!$C$2&amp;マスタ登録抽出!A412</f>
        <v>4516552522125-1</v>
      </c>
      <c r="P412">
        <v>1</v>
      </c>
    </row>
    <row r="413" spans="1:16" x14ac:dyDescent="0.55000000000000004">
      <c r="A413" t="s">
        <v>10</v>
      </c>
      <c r="B413" t="str">
        <f>貼付!$C$2&amp;マスタ登録抽出!A413</f>
        <v>4516552522125-2</v>
      </c>
      <c r="P413">
        <v>2</v>
      </c>
    </row>
    <row r="414" spans="1:16" x14ac:dyDescent="0.55000000000000004">
      <c r="A414" t="s">
        <v>11</v>
      </c>
      <c r="B414" t="str">
        <f>貼付!$C$2&amp;マスタ登録抽出!A414</f>
        <v>4516552522125-3</v>
      </c>
      <c r="P414">
        <v>3</v>
      </c>
    </row>
    <row r="415" spans="1:16" x14ac:dyDescent="0.55000000000000004">
      <c r="A415" t="s">
        <v>12</v>
      </c>
      <c r="B415" t="str">
        <f>貼付!$C$2&amp;マスタ登録抽出!A415</f>
        <v>4516552522125-4</v>
      </c>
      <c r="P415">
        <v>4</v>
      </c>
    </row>
    <row r="416" spans="1:16" x14ac:dyDescent="0.55000000000000004">
      <c r="A416" t="s">
        <v>13</v>
      </c>
      <c r="B416" t="str">
        <f>貼付!$C$2&amp;マスタ登録抽出!A416</f>
        <v>4516552522125-5</v>
      </c>
      <c r="P416">
        <v>5</v>
      </c>
    </row>
    <row r="417" spans="1:16" x14ac:dyDescent="0.55000000000000004">
      <c r="A417" t="s">
        <v>14</v>
      </c>
      <c r="B417" t="str">
        <f>貼付!$C$2&amp;マスタ登録抽出!A417</f>
        <v>4516552522125-6</v>
      </c>
      <c r="P417">
        <v>6</v>
      </c>
    </row>
    <row r="418" spans="1:16" x14ac:dyDescent="0.55000000000000004">
      <c r="A418" t="s">
        <v>15</v>
      </c>
      <c r="B418" t="str">
        <f>貼付!$C$2&amp;マスタ登録抽出!A418</f>
        <v>4516552522125-7</v>
      </c>
      <c r="P418">
        <v>7</v>
      </c>
    </row>
    <row r="419" spans="1:16" x14ac:dyDescent="0.55000000000000004">
      <c r="A419" t="s">
        <v>16</v>
      </c>
      <c r="B419" t="str">
        <f>貼付!$C$2&amp;マスタ登録抽出!A419</f>
        <v>4516552522125-8</v>
      </c>
      <c r="P419">
        <v>8</v>
      </c>
    </row>
    <row r="420" spans="1:16" x14ac:dyDescent="0.55000000000000004">
      <c r="A420" t="s">
        <v>17</v>
      </c>
      <c r="B420" t="str">
        <f>貼付!$C$2&amp;マスタ登録抽出!A420</f>
        <v>4516552522125-9</v>
      </c>
      <c r="P420">
        <v>9</v>
      </c>
    </row>
    <row r="421" spans="1:16" x14ac:dyDescent="0.55000000000000004">
      <c r="A421" t="s">
        <v>18</v>
      </c>
      <c r="B421" t="str">
        <f>貼付!$C$2&amp;マスタ登録抽出!A421</f>
        <v>4516552522125-10</v>
      </c>
      <c r="P421">
        <v>10</v>
      </c>
    </row>
    <row r="422" spans="1:16" x14ac:dyDescent="0.55000000000000004">
      <c r="A422" t="s">
        <v>9</v>
      </c>
      <c r="B422" t="str">
        <f>貼付!$C$2&amp;マスタ登録抽出!A422</f>
        <v>4516552522125-1</v>
      </c>
      <c r="P422">
        <v>1</v>
      </c>
    </row>
    <row r="423" spans="1:16" x14ac:dyDescent="0.55000000000000004">
      <c r="A423" t="s">
        <v>10</v>
      </c>
      <c r="B423" t="str">
        <f>貼付!$C$2&amp;マスタ登録抽出!A423</f>
        <v>4516552522125-2</v>
      </c>
      <c r="P423">
        <v>2</v>
      </c>
    </row>
    <row r="424" spans="1:16" x14ac:dyDescent="0.55000000000000004">
      <c r="A424" t="s">
        <v>11</v>
      </c>
      <c r="B424" t="str">
        <f>貼付!$C$2&amp;マスタ登録抽出!A424</f>
        <v>4516552522125-3</v>
      </c>
      <c r="P424">
        <v>3</v>
      </c>
    </row>
    <row r="425" spans="1:16" x14ac:dyDescent="0.55000000000000004">
      <c r="A425" t="s">
        <v>12</v>
      </c>
      <c r="B425" t="str">
        <f>貼付!$C$2&amp;マスタ登録抽出!A425</f>
        <v>4516552522125-4</v>
      </c>
      <c r="P425">
        <v>4</v>
      </c>
    </row>
    <row r="426" spans="1:16" x14ac:dyDescent="0.55000000000000004">
      <c r="A426" t="s">
        <v>13</v>
      </c>
      <c r="B426" t="str">
        <f>貼付!$C$2&amp;マスタ登録抽出!A426</f>
        <v>4516552522125-5</v>
      </c>
      <c r="P426">
        <v>5</v>
      </c>
    </row>
    <row r="427" spans="1:16" x14ac:dyDescent="0.55000000000000004">
      <c r="A427" t="s">
        <v>14</v>
      </c>
      <c r="B427" t="str">
        <f>貼付!$C$2&amp;マスタ登録抽出!A427</f>
        <v>4516552522125-6</v>
      </c>
      <c r="P427">
        <v>6</v>
      </c>
    </row>
    <row r="428" spans="1:16" x14ac:dyDescent="0.55000000000000004">
      <c r="A428" t="s">
        <v>15</v>
      </c>
      <c r="B428" t="str">
        <f>貼付!$C$2&amp;マスタ登録抽出!A428</f>
        <v>4516552522125-7</v>
      </c>
      <c r="P428">
        <v>7</v>
      </c>
    </row>
    <row r="429" spans="1:16" x14ac:dyDescent="0.55000000000000004">
      <c r="A429" t="s">
        <v>16</v>
      </c>
      <c r="P429">
        <v>8</v>
      </c>
    </row>
    <row r="430" spans="1:16" x14ac:dyDescent="0.55000000000000004">
      <c r="A430" t="s">
        <v>17</v>
      </c>
      <c r="P430">
        <v>9</v>
      </c>
    </row>
    <row r="431" spans="1:16" x14ac:dyDescent="0.55000000000000004">
      <c r="A431" t="s">
        <v>18</v>
      </c>
      <c r="P431">
        <v>10</v>
      </c>
    </row>
    <row r="432" spans="1:16" x14ac:dyDescent="0.55000000000000004">
      <c r="A432" t="s">
        <v>9</v>
      </c>
      <c r="P432">
        <v>1</v>
      </c>
    </row>
    <row r="433" spans="1:16" x14ac:dyDescent="0.55000000000000004">
      <c r="A433" t="s">
        <v>10</v>
      </c>
      <c r="P433">
        <v>2</v>
      </c>
    </row>
    <row r="434" spans="1:16" x14ac:dyDescent="0.55000000000000004">
      <c r="A434" t="s">
        <v>11</v>
      </c>
      <c r="P434">
        <v>3</v>
      </c>
    </row>
    <row r="435" spans="1:16" x14ac:dyDescent="0.55000000000000004">
      <c r="A435" t="s">
        <v>12</v>
      </c>
      <c r="P435">
        <v>4</v>
      </c>
    </row>
    <row r="436" spans="1:16" x14ac:dyDescent="0.55000000000000004">
      <c r="A436" t="s">
        <v>13</v>
      </c>
      <c r="P436">
        <v>5</v>
      </c>
    </row>
    <row r="437" spans="1:16" x14ac:dyDescent="0.55000000000000004">
      <c r="A437" t="s">
        <v>14</v>
      </c>
      <c r="P437">
        <v>6</v>
      </c>
    </row>
    <row r="438" spans="1:16" x14ac:dyDescent="0.55000000000000004">
      <c r="A438" t="s">
        <v>15</v>
      </c>
      <c r="P438">
        <v>7</v>
      </c>
    </row>
    <row r="439" spans="1:16" x14ac:dyDescent="0.55000000000000004">
      <c r="A439" t="s">
        <v>16</v>
      </c>
      <c r="P439">
        <v>8</v>
      </c>
    </row>
    <row r="440" spans="1:16" x14ac:dyDescent="0.55000000000000004">
      <c r="A440" t="s">
        <v>17</v>
      </c>
      <c r="P440">
        <v>9</v>
      </c>
    </row>
    <row r="441" spans="1:16" x14ac:dyDescent="0.55000000000000004">
      <c r="A441" t="s">
        <v>18</v>
      </c>
      <c r="P441">
        <v>10</v>
      </c>
    </row>
    <row r="442" spans="1:16" x14ac:dyDescent="0.55000000000000004">
      <c r="P442">
        <v>1</v>
      </c>
    </row>
    <row r="443" spans="1:16" x14ac:dyDescent="0.55000000000000004">
      <c r="P443">
        <v>2</v>
      </c>
    </row>
    <row r="444" spans="1:16" x14ac:dyDescent="0.55000000000000004">
      <c r="P444">
        <v>3</v>
      </c>
    </row>
    <row r="445" spans="1:16" x14ac:dyDescent="0.55000000000000004">
      <c r="P445">
        <v>4</v>
      </c>
    </row>
    <row r="446" spans="1:16" x14ac:dyDescent="0.55000000000000004">
      <c r="P446">
        <v>5</v>
      </c>
    </row>
    <row r="447" spans="1:16" x14ac:dyDescent="0.55000000000000004">
      <c r="P447">
        <v>6</v>
      </c>
    </row>
    <row r="448" spans="1:16" x14ac:dyDescent="0.55000000000000004">
      <c r="P448">
        <v>7</v>
      </c>
    </row>
    <row r="449" spans="16:16" x14ac:dyDescent="0.55000000000000004">
      <c r="P449">
        <v>8</v>
      </c>
    </row>
    <row r="450" spans="16:16" x14ac:dyDescent="0.55000000000000004">
      <c r="P450">
        <v>9</v>
      </c>
    </row>
    <row r="451" spans="16:16" x14ac:dyDescent="0.55000000000000004">
      <c r="P451">
        <v>10</v>
      </c>
    </row>
    <row r="452" spans="16:16" x14ac:dyDescent="0.55000000000000004">
      <c r="P452">
        <v>1</v>
      </c>
    </row>
    <row r="453" spans="16:16" x14ac:dyDescent="0.55000000000000004">
      <c r="P453">
        <v>2</v>
      </c>
    </row>
    <row r="454" spans="16:16" x14ac:dyDescent="0.55000000000000004">
      <c r="P454">
        <v>3</v>
      </c>
    </row>
    <row r="455" spans="16:16" x14ac:dyDescent="0.55000000000000004">
      <c r="P455">
        <v>4</v>
      </c>
    </row>
    <row r="456" spans="16:16" x14ac:dyDescent="0.55000000000000004">
      <c r="P456">
        <v>5</v>
      </c>
    </row>
    <row r="457" spans="16:16" x14ac:dyDescent="0.55000000000000004">
      <c r="P457">
        <v>6</v>
      </c>
    </row>
    <row r="458" spans="16:16" x14ac:dyDescent="0.55000000000000004">
      <c r="P458">
        <v>7</v>
      </c>
    </row>
    <row r="459" spans="16:16" x14ac:dyDescent="0.55000000000000004">
      <c r="P459">
        <v>8</v>
      </c>
    </row>
    <row r="460" spans="16:16" x14ac:dyDescent="0.55000000000000004">
      <c r="P460">
        <v>9</v>
      </c>
    </row>
    <row r="461" spans="16:16" x14ac:dyDescent="0.55000000000000004">
      <c r="P461">
        <v>10</v>
      </c>
    </row>
    <row r="462" spans="16:16" x14ac:dyDescent="0.55000000000000004">
      <c r="P462">
        <v>1</v>
      </c>
    </row>
    <row r="463" spans="16:16" x14ac:dyDescent="0.55000000000000004">
      <c r="P463">
        <v>2</v>
      </c>
    </row>
    <row r="464" spans="16:16" x14ac:dyDescent="0.55000000000000004">
      <c r="P464">
        <v>3</v>
      </c>
    </row>
    <row r="465" spans="16:16" x14ac:dyDescent="0.55000000000000004">
      <c r="P465">
        <v>4</v>
      </c>
    </row>
    <row r="466" spans="16:16" x14ac:dyDescent="0.55000000000000004">
      <c r="P466">
        <v>5</v>
      </c>
    </row>
    <row r="467" spans="16:16" x14ac:dyDescent="0.55000000000000004">
      <c r="P467">
        <v>6</v>
      </c>
    </row>
    <row r="468" spans="16:16" x14ac:dyDescent="0.55000000000000004">
      <c r="P468">
        <v>7</v>
      </c>
    </row>
    <row r="469" spans="16:16" x14ac:dyDescent="0.55000000000000004">
      <c r="P469">
        <v>8</v>
      </c>
    </row>
    <row r="470" spans="16:16" x14ac:dyDescent="0.55000000000000004">
      <c r="P470">
        <v>9</v>
      </c>
    </row>
    <row r="471" spans="16:16" x14ac:dyDescent="0.55000000000000004">
      <c r="P471">
        <v>10</v>
      </c>
    </row>
    <row r="472" spans="16:16" x14ac:dyDescent="0.55000000000000004">
      <c r="P472">
        <v>1</v>
      </c>
    </row>
    <row r="473" spans="16:16" x14ac:dyDescent="0.55000000000000004">
      <c r="P473">
        <v>2</v>
      </c>
    </row>
    <row r="474" spans="16:16" x14ac:dyDescent="0.55000000000000004">
      <c r="P474">
        <v>3</v>
      </c>
    </row>
    <row r="475" spans="16:16" x14ac:dyDescent="0.55000000000000004">
      <c r="P475">
        <v>4</v>
      </c>
    </row>
    <row r="476" spans="16:16" x14ac:dyDescent="0.55000000000000004">
      <c r="P476">
        <v>5</v>
      </c>
    </row>
    <row r="477" spans="16:16" x14ac:dyDescent="0.55000000000000004">
      <c r="P477">
        <v>6</v>
      </c>
    </row>
    <row r="478" spans="16:16" x14ac:dyDescent="0.55000000000000004">
      <c r="P478">
        <v>7</v>
      </c>
    </row>
    <row r="479" spans="16:16" x14ac:dyDescent="0.55000000000000004">
      <c r="P479">
        <v>8</v>
      </c>
    </row>
    <row r="480" spans="16:16" x14ac:dyDescent="0.55000000000000004">
      <c r="P480">
        <v>9</v>
      </c>
    </row>
    <row r="481" spans="16:16" x14ac:dyDescent="0.55000000000000004">
      <c r="P481">
        <v>10</v>
      </c>
    </row>
    <row r="482" spans="16:16" x14ac:dyDescent="0.55000000000000004">
      <c r="P482">
        <v>1</v>
      </c>
    </row>
    <row r="483" spans="16:16" x14ac:dyDescent="0.55000000000000004">
      <c r="P483">
        <v>2</v>
      </c>
    </row>
    <row r="484" spans="16:16" x14ac:dyDescent="0.55000000000000004">
      <c r="P484">
        <v>3</v>
      </c>
    </row>
    <row r="485" spans="16:16" x14ac:dyDescent="0.55000000000000004">
      <c r="P485">
        <v>4</v>
      </c>
    </row>
    <row r="486" spans="16:16" x14ac:dyDescent="0.55000000000000004">
      <c r="P486">
        <v>5</v>
      </c>
    </row>
    <row r="487" spans="16:16" x14ac:dyDescent="0.55000000000000004">
      <c r="P487">
        <v>6</v>
      </c>
    </row>
    <row r="488" spans="16:16" x14ac:dyDescent="0.55000000000000004">
      <c r="P488">
        <v>7</v>
      </c>
    </row>
    <row r="489" spans="16:16" x14ac:dyDescent="0.55000000000000004">
      <c r="P489">
        <v>8</v>
      </c>
    </row>
    <row r="490" spans="16:16" x14ac:dyDescent="0.55000000000000004">
      <c r="P490">
        <v>9</v>
      </c>
    </row>
    <row r="491" spans="16:16" x14ac:dyDescent="0.55000000000000004">
      <c r="P491">
        <v>10</v>
      </c>
    </row>
    <row r="492" spans="16:16" x14ac:dyDescent="0.55000000000000004">
      <c r="P492">
        <v>1</v>
      </c>
    </row>
    <row r="493" spans="16:16" x14ac:dyDescent="0.55000000000000004">
      <c r="P493">
        <v>2</v>
      </c>
    </row>
    <row r="494" spans="16:16" x14ac:dyDescent="0.55000000000000004">
      <c r="P494">
        <v>3</v>
      </c>
    </row>
    <row r="495" spans="16:16" x14ac:dyDescent="0.55000000000000004">
      <c r="P495">
        <v>4</v>
      </c>
    </row>
    <row r="496" spans="16:16" x14ac:dyDescent="0.55000000000000004">
      <c r="P496">
        <v>5</v>
      </c>
    </row>
    <row r="497" spans="16:16" x14ac:dyDescent="0.55000000000000004">
      <c r="P497">
        <v>6</v>
      </c>
    </row>
    <row r="498" spans="16:16" x14ac:dyDescent="0.55000000000000004">
      <c r="P498">
        <v>7</v>
      </c>
    </row>
    <row r="499" spans="16:16" x14ac:dyDescent="0.55000000000000004">
      <c r="P499">
        <v>8</v>
      </c>
    </row>
    <row r="500" spans="16:16" x14ac:dyDescent="0.55000000000000004">
      <c r="P500">
        <v>9</v>
      </c>
    </row>
    <row r="501" spans="16:16" x14ac:dyDescent="0.55000000000000004">
      <c r="P501">
        <v>10</v>
      </c>
    </row>
    <row r="502" spans="16:16" x14ac:dyDescent="0.55000000000000004">
      <c r="P502">
        <v>1</v>
      </c>
    </row>
    <row r="503" spans="16:16" x14ac:dyDescent="0.55000000000000004">
      <c r="P503">
        <v>2</v>
      </c>
    </row>
    <row r="504" spans="16:16" x14ac:dyDescent="0.55000000000000004">
      <c r="P504">
        <v>3</v>
      </c>
    </row>
    <row r="505" spans="16:16" x14ac:dyDescent="0.55000000000000004">
      <c r="P505">
        <v>4</v>
      </c>
    </row>
    <row r="506" spans="16:16" x14ac:dyDescent="0.55000000000000004">
      <c r="P506">
        <v>5</v>
      </c>
    </row>
    <row r="507" spans="16:16" x14ac:dyDescent="0.55000000000000004">
      <c r="P507">
        <v>6</v>
      </c>
    </row>
    <row r="508" spans="16:16" x14ac:dyDescent="0.55000000000000004">
      <c r="P508">
        <v>7</v>
      </c>
    </row>
    <row r="509" spans="16:16" x14ac:dyDescent="0.55000000000000004">
      <c r="P509">
        <v>8</v>
      </c>
    </row>
    <row r="510" spans="16:16" x14ac:dyDescent="0.55000000000000004">
      <c r="P510">
        <v>9</v>
      </c>
    </row>
    <row r="511" spans="16:16" x14ac:dyDescent="0.55000000000000004">
      <c r="P511">
        <v>10</v>
      </c>
    </row>
    <row r="512" spans="16:16" x14ac:dyDescent="0.55000000000000004">
      <c r="P512">
        <v>1</v>
      </c>
    </row>
    <row r="513" spans="16:16" x14ac:dyDescent="0.55000000000000004">
      <c r="P513">
        <v>2</v>
      </c>
    </row>
    <row r="514" spans="16:16" x14ac:dyDescent="0.55000000000000004">
      <c r="P514">
        <v>3</v>
      </c>
    </row>
    <row r="515" spans="16:16" x14ac:dyDescent="0.55000000000000004">
      <c r="P515">
        <v>4</v>
      </c>
    </row>
    <row r="516" spans="16:16" x14ac:dyDescent="0.55000000000000004">
      <c r="P516">
        <v>5</v>
      </c>
    </row>
    <row r="517" spans="16:16" x14ac:dyDescent="0.55000000000000004">
      <c r="P517">
        <v>6</v>
      </c>
    </row>
    <row r="518" spans="16:16" x14ac:dyDescent="0.55000000000000004">
      <c r="P518">
        <v>7</v>
      </c>
    </row>
    <row r="519" spans="16:16" x14ac:dyDescent="0.55000000000000004">
      <c r="P519">
        <v>8</v>
      </c>
    </row>
    <row r="520" spans="16:16" x14ac:dyDescent="0.55000000000000004">
      <c r="P520">
        <v>9</v>
      </c>
    </row>
    <row r="521" spans="16:16" x14ac:dyDescent="0.55000000000000004">
      <c r="P521">
        <v>10</v>
      </c>
    </row>
    <row r="522" spans="16:16" x14ac:dyDescent="0.55000000000000004">
      <c r="P522">
        <v>1</v>
      </c>
    </row>
    <row r="523" spans="16:16" x14ac:dyDescent="0.55000000000000004">
      <c r="P523">
        <v>2</v>
      </c>
    </row>
    <row r="524" spans="16:16" x14ac:dyDescent="0.55000000000000004">
      <c r="P524">
        <v>3</v>
      </c>
    </row>
    <row r="525" spans="16:16" x14ac:dyDescent="0.55000000000000004">
      <c r="P525">
        <v>4</v>
      </c>
    </row>
    <row r="526" spans="16:16" x14ac:dyDescent="0.55000000000000004">
      <c r="P526">
        <v>5</v>
      </c>
    </row>
    <row r="527" spans="16:16" x14ac:dyDescent="0.55000000000000004">
      <c r="P527">
        <v>6</v>
      </c>
    </row>
    <row r="528" spans="16:16" x14ac:dyDescent="0.55000000000000004">
      <c r="P528">
        <v>7</v>
      </c>
    </row>
    <row r="529" spans="16:16" x14ac:dyDescent="0.55000000000000004">
      <c r="P529">
        <v>8</v>
      </c>
    </row>
    <row r="530" spans="16:16" x14ac:dyDescent="0.55000000000000004">
      <c r="P530">
        <v>9</v>
      </c>
    </row>
    <row r="531" spans="16:16" x14ac:dyDescent="0.55000000000000004">
      <c r="P531">
        <v>10</v>
      </c>
    </row>
    <row r="532" spans="16:16" x14ac:dyDescent="0.55000000000000004">
      <c r="P532">
        <v>1</v>
      </c>
    </row>
    <row r="533" spans="16:16" x14ac:dyDescent="0.55000000000000004">
      <c r="P533">
        <v>2</v>
      </c>
    </row>
    <row r="534" spans="16:16" x14ac:dyDescent="0.55000000000000004">
      <c r="P534">
        <v>3</v>
      </c>
    </row>
    <row r="535" spans="16:16" x14ac:dyDescent="0.55000000000000004">
      <c r="P535">
        <v>4</v>
      </c>
    </row>
    <row r="536" spans="16:16" x14ac:dyDescent="0.55000000000000004">
      <c r="P536">
        <v>5</v>
      </c>
    </row>
    <row r="537" spans="16:16" x14ac:dyDescent="0.55000000000000004">
      <c r="P537">
        <v>6</v>
      </c>
    </row>
    <row r="538" spans="16:16" x14ac:dyDescent="0.55000000000000004">
      <c r="P538">
        <v>7</v>
      </c>
    </row>
    <row r="539" spans="16:16" x14ac:dyDescent="0.55000000000000004">
      <c r="P539">
        <v>8</v>
      </c>
    </row>
    <row r="540" spans="16:16" x14ac:dyDescent="0.55000000000000004">
      <c r="P540">
        <v>9</v>
      </c>
    </row>
    <row r="541" spans="16:16" x14ac:dyDescent="0.55000000000000004">
      <c r="P541">
        <v>10</v>
      </c>
    </row>
    <row r="542" spans="16:16" x14ac:dyDescent="0.55000000000000004">
      <c r="P542">
        <v>1</v>
      </c>
    </row>
    <row r="543" spans="16:16" x14ac:dyDescent="0.55000000000000004">
      <c r="P543">
        <v>2</v>
      </c>
    </row>
    <row r="544" spans="16:16" x14ac:dyDescent="0.55000000000000004">
      <c r="P544">
        <v>3</v>
      </c>
    </row>
    <row r="545" spans="16:16" x14ac:dyDescent="0.55000000000000004">
      <c r="P545">
        <v>4</v>
      </c>
    </row>
    <row r="546" spans="16:16" x14ac:dyDescent="0.55000000000000004">
      <c r="P546">
        <v>5</v>
      </c>
    </row>
    <row r="547" spans="16:16" x14ac:dyDescent="0.55000000000000004">
      <c r="P547">
        <v>6</v>
      </c>
    </row>
    <row r="548" spans="16:16" x14ac:dyDescent="0.55000000000000004">
      <c r="P548">
        <v>7</v>
      </c>
    </row>
    <row r="549" spans="16:16" x14ac:dyDescent="0.55000000000000004">
      <c r="P549">
        <v>8</v>
      </c>
    </row>
    <row r="550" spans="16:16" x14ac:dyDescent="0.55000000000000004">
      <c r="P550">
        <v>9</v>
      </c>
    </row>
    <row r="551" spans="16:16" x14ac:dyDescent="0.55000000000000004">
      <c r="P551">
        <v>10</v>
      </c>
    </row>
    <row r="552" spans="16:16" x14ac:dyDescent="0.55000000000000004">
      <c r="P552">
        <v>1</v>
      </c>
    </row>
    <row r="553" spans="16:16" x14ac:dyDescent="0.55000000000000004">
      <c r="P553">
        <v>2</v>
      </c>
    </row>
    <row r="554" spans="16:16" x14ac:dyDescent="0.55000000000000004">
      <c r="P554">
        <v>3</v>
      </c>
    </row>
    <row r="555" spans="16:16" x14ac:dyDescent="0.55000000000000004">
      <c r="P555">
        <v>4</v>
      </c>
    </row>
    <row r="556" spans="16:16" x14ac:dyDescent="0.55000000000000004">
      <c r="P556">
        <v>5</v>
      </c>
    </row>
    <row r="557" spans="16:16" x14ac:dyDescent="0.55000000000000004">
      <c r="P557">
        <v>6</v>
      </c>
    </row>
    <row r="558" spans="16:16" x14ac:dyDescent="0.55000000000000004">
      <c r="P558">
        <v>7</v>
      </c>
    </row>
    <row r="559" spans="16:16" x14ac:dyDescent="0.55000000000000004">
      <c r="P559">
        <v>8</v>
      </c>
    </row>
    <row r="560" spans="16:16" x14ac:dyDescent="0.55000000000000004">
      <c r="P560">
        <v>9</v>
      </c>
    </row>
    <row r="561" spans="16:16" x14ac:dyDescent="0.55000000000000004">
      <c r="P561">
        <v>10</v>
      </c>
    </row>
    <row r="562" spans="16:16" x14ac:dyDescent="0.55000000000000004">
      <c r="P562">
        <v>1</v>
      </c>
    </row>
    <row r="563" spans="16:16" x14ac:dyDescent="0.55000000000000004">
      <c r="P563">
        <v>2</v>
      </c>
    </row>
    <row r="564" spans="16:16" x14ac:dyDescent="0.55000000000000004">
      <c r="P564">
        <v>3</v>
      </c>
    </row>
    <row r="565" spans="16:16" x14ac:dyDescent="0.55000000000000004">
      <c r="P565">
        <v>4</v>
      </c>
    </row>
    <row r="566" spans="16:16" x14ac:dyDescent="0.55000000000000004">
      <c r="P566">
        <v>5</v>
      </c>
    </row>
    <row r="567" spans="16:16" x14ac:dyDescent="0.55000000000000004">
      <c r="P567">
        <v>6</v>
      </c>
    </row>
    <row r="568" spans="16:16" x14ac:dyDescent="0.55000000000000004">
      <c r="P568">
        <v>7</v>
      </c>
    </row>
    <row r="569" spans="16:16" x14ac:dyDescent="0.55000000000000004">
      <c r="P569">
        <v>8</v>
      </c>
    </row>
    <row r="570" spans="16:16" x14ac:dyDescent="0.55000000000000004">
      <c r="P570">
        <v>9</v>
      </c>
    </row>
    <row r="571" spans="16:16" x14ac:dyDescent="0.55000000000000004">
      <c r="P571">
        <v>10</v>
      </c>
    </row>
    <row r="572" spans="16:16" x14ac:dyDescent="0.55000000000000004">
      <c r="P572">
        <v>1</v>
      </c>
    </row>
    <row r="573" spans="16:16" x14ac:dyDescent="0.55000000000000004">
      <c r="P573">
        <v>2</v>
      </c>
    </row>
    <row r="574" spans="16:16" x14ac:dyDescent="0.55000000000000004">
      <c r="P574">
        <v>3</v>
      </c>
    </row>
    <row r="575" spans="16:16" x14ac:dyDescent="0.55000000000000004">
      <c r="P575">
        <v>4</v>
      </c>
    </row>
    <row r="576" spans="16:16" x14ac:dyDescent="0.55000000000000004">
      <c r="P576">
        <v>5</v>
      </c>
    </row>
    <row r="577" spans="16:16" x14ac:dyDescent="0.55000000000000004">
      <c r="P577">
        <v>6</v>
      </c>
    </row>
    <row r="578" spans="16:16" x14ac:dyDescent="0.55000000000000004">
      <c r="P578">
        <v>7</v>
      </c>
    </row>
    <row r="579" spans="16:16" x14ac:dyDescent="0.55000000000000004">
      <c r="P579">
        <v>8</v>
      </c>
    </row>
    <row r="580" spans="16:16" x14ac:dyDescent="0.55000000000000004">
      <c r="P580">
        <v>9</v>
      </c>
    </row>
    <row r="581" spans="16:16" x14ac:dyDescent="0.55000000000000004">
      <c r="P581">
        <v>10</v>
      </c>
    </row>
    <row r="582" spans="16:16" x14ac:dyDescent="0.55000000000000004">
      <c r="P582">
        <v>1</v>
      </c>
    </row>
    <row r="583" spans="16:16" x14ac:dyDescent="0.55000000000000004">
      <c r="P583">
        <v>2</v>
      </c>
    </row>
    <row r="584" spans="16:16" x14ac:dyDescent="0.55000000000000004">
      <c r="P584">
        <v>3</v>
      </c>
    </row>
    <row r="585" spans="16:16" x14ac:dyDescent="0.55000000000000004">
      <c r="P585">
        <v>4</v>
      </c>
    </row>
    <row r="586" spans="16:16" x14ac:dyDescent="0.55000000000000004">
      <c r="P586">
        <v>5</v>
      </c>
    </row>
    <row r="587" spans="16:16" x14ac:dyDescent="0.55000000000000004">
      <c r="P587">
        <v>6</v>
      </c>
    </row>
    <row r="588" spans="16:16" x14ac:dyDescent="0.55000000000000004">
      <c r="P588">
        <v>7</v>
      </c>
    </row>
    <row r="589" spans="16:16" x14ac:dyDescent="0.55000000000000004">
      <c r="P589">
        <v>8</v>
      </c>
    </row>
    <row r="590" spans="16:16" x14ac:dyDescent="0.55000000000000004">
      <c r="P590">
        <v>9</v>
      </c>
    </row>
    <row r="591" spans="16:16" x14ac:dyDescent="0.55000000000000004">
      <c r="P591">
        <v>10</v>
      </c>
    </row>
    <row r="592" spans="16:16" x14ac:dyDescent="0.55000000000000004">
      <c r="P592">
        <v>1</v>
      </c>
    </row>
    <row r="593" spans="16:16" x14ac:dyDescent="0.55000000000000004">
      <c r="P593">
        <v>2</v>
      </c>
    </row>
    <row r="594" spans="16:16" x14ac:dyDescent="0.55000000000000004">
      <c r="P594">
        <v>3</v>
      </c>
    </row>
    <row r="595" spans="16:16" x14ac:dyDescent="0.55000000000000004">
      <c r="P595">
        <v>4</v>
      </c>
    </row>
    <row r="596" spans="16:16" x14ac:dyDescent="0.55000000000000004">
      <c r="P596">
        <v>5</v>
      </c>
    </row>
    <row r="597" spans="16:16" x14ac:dyDescent="0.55000000000000004">
      <c r="P597">
        <v>6</v>
      </c>
    </row>
    <row r="598" spans="16:16" x14ac:dyDescent="0.55000000000000004">
      <c r="P598">
        <v>7</v>
      </c>
    </row>
    <row r="599" spans="16:16" x14ac:dyDescent="0.55000000000000004">
      <c r="P599">
        <v>8</v>
      </c>
    </row>
    <row r="600" spans="16:16" x14ac:dyDescent="0.55000000000000004">
      <c r="P600">
        <v>9</v>
      </c>
    </row>
    <row r="601" spans="16:16" x14ac:dyDescent="0.55000000000000004">
      <c r="P601">
        <v>10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貼付</vt:lpstr>
      <vt:lpstr>マスタ登録抽出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本近 浩一</cp:lastModifiedBy>
  <dcterms:created xsi:type="dcterms:W3CDTF">2022-02-03T13:29:45Z</dcterms:created>
  <dcterms:modified xsi:type="dcterms:W3CDTF">2022-02-07T08:47:55Z</dcterms:modified>
</cp:coreProperties>
</file>