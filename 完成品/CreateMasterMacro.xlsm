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yo\Desktop\Lancers\CreateMasterMacro\完成品\"/>
    </mc:Choice>
  </mc:AlternateContent>
  <xr:revisionPtr revIDLastSave="0" documentId="13_ncr:1_{B457A538-CEA5-49D5-92DA-6592F4C49EB4}" xr6:coauthVersionLast="47" xr6:coauthVersionMax="47" xr10:uidLastSave="{00000000-0000-0000-0000-000000000000}"/>
  <bookViews>
    <workbookView xWindow="-108" yWindow="-108" windowWidth="23256" windowHeight="12576" xr2:uid="{187CAA73-C535-4EFE-9E8D-1B0C70AFFEE6}"/>
  </bookViews>
  <sheets>
    <sheet name="マスタ作成" sheetId="1" r:id="rId1"/>
    <sheet name="貼付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" i="2" l="1"/>
  <c r="N6" i="2"/>
  <c r="N5" i="2"/>
  <c r="N4" i="2"/>
  <c r="N3" i="2"/>
  <c r="N2" i="2"/>
</calcChain>
</file>

<file path=xl/sharedStrings.xml><?xml version="1.0" encoding="utf-8"?>
<sst xmlns="http://schemas.openxmlformats.org/spreadsheetml/2006/main" count="67" uniqueCount="52">
  <si>
    <t>セット組</t>
    <rPh sb="3" eb="4">
      <t>クミ</t>
    </rPh>
    <phoneticPr fontId="1"/>
  </si>
  <si>
    <t>セット組作成数</t>
    <rPh sb="3" eb="4">
      <t>クミ</t>
    </rPh>
    <rPh sb="4" eb="6">
      <t>サクセイ</t>
    </rPh>
    <rPh sb="6" eb="7">
      <t>スウ</t>
    </rPh>
    <phoneticPr fontId="1"/>
  </si>
  <si>
    <t>割引率</t>
    <rPh sb="0" eb="3">
      <t>ワリビキリツ</t>
    </rPh>
    <phoneticPr fontId="1"/>
  </si>
  <si>
    <t>割引額</t>
    <rPh sb="0" eb="3">
      <t>ワリビキガク</t>
    </rPh>
    <phoneticPr fontId="1"/>
  </si>
  <si>
    <t>商品コード</t>
    <rPh sb="0" eb="2">
      <t>ショウヒン</t>
    </rPh>
    <phoneticPr fontId="2"/>
  </si>
  <si>
    <t>仕入先コード</t>
    <rPh sb="0" eb="3">
      <t>シイレサキ</t>
    </rPh>
    <phoneticPr fontId="2"/>
  </si>
  <si>
    <t>JANコード</t>
  </si>
  <si>
    <t>ブランド</t>
  </si>
  <si>
    <t>商品名</t>
    <rPh sb="0" eb="3">
      <t>ショウヒンメイ</t>
    </rPh>
    <phoneticPr fontId="2"/>
  </si>
  <si>
    <t>規格</t>
    <rPh sb="0" eb="2">
      <t>キカク</t>
    </rPh>
    <phoneticPr fontId="2"/>
  </si>
  <si>
    <t>入り数</t>
    <rPh sb="0" eb="1">
      <t>イ</t>
    </rPh>
    <rPh sb="2" eb="3">
      <t>スウ</t>
    </rPh>
    <phoneticPr fontId="2"/>
  </si>
  <si>
    <t>本体価格</t>
    <rPh sb="0" eb="2">
      <t>ホンタイ</t>
    </rPh>
    <rPh sb="2" eb="4">
      <t>カカク</t>
    </rPh>
    <phoneticPr fontId="2"/>
  </si>
  <si>
    <t>税率</t>
    <rPh sb="0" eb="2">
      <t>ゼイリツ</t>
    </rPh>
    <phoneticPr fontId="1"/>
  </si>
  <si>
    <t>税込仕入単価</t>
    <rPh sb="0" eb="2">
      <t>ゼイコ</t>
    </rPh>
    <rPh sb="2" eb="4">
      <t>シイレ</t>
    </rPh>
    <rPh sb="4" eb="6">
      <t>タンカ</t>
    </rPh>
    <phoneticPr fontId="1"/>
  </si>
  <si>
    <t>運賃</t>
    <rPh sb="0" eb="2">
      <t>ウンチン</t>
    </rPh>
    <phoneticPr fontId="1"/>
  </si>
  <si>
    <t>税込売価</t>
    <rPh sb="0" eb="2">
      <t>ゼイコミ</t>
    </rPh>
    <rPh sb="2" eb="4">
      <t>バイカ</t>
    </rPh>
    <phoneticPr fontId="1"/>
  </si>
  <si>
    <t>商品コメント（１言）</t>
    <rPh sb="0" eb="2">
      <t>ショウヒン</t>
    </rPh>
    <rPh sb="8" eb="9">
      <t>イ</t>
    </rPh>
    <phoneticPr fontId="1"/>
  </si>
  <si>
    <t>商品コメント（長め）</t>
    <rPh sb="0" eb="2">
      <t>ショウヒン</t>
    </rPh>
    <rPh sb="7" eb="8">
      <t>ナガ</t>
    </rPh>
    <phoneticPr fontId="1"/>
  </si>
  <si>
    <t>ヤフオクカテゴリーID</t>
    <phoneticPr fontId="1"/>
  </si>
  <si>
    <t>楽天ディレクトリーID</t>
    <rPh sb="0" eb="2">
      <t>ラクテン</t>
    </rPh>
    <phoneticPr fontId="1"/>
  </si>
  <si>
    <t>項目は今後、増やすのでこの行にデータが入っている場合はマスタに反映</t>
    <rPh sb="0" eb="2">
      <t>コウモク</t>
    </rPh>
    <rPh sb="3" eb="5">
      <t>コンゴ</t>
    </rPh>
    <rPh sb="6" eb="7">
      <t>フ</t>
    </rPh>
    <rPh sb="13" eb="14">
      <t>ギョウ</t>
    </rPh>
    <rPh sb="19" eb="20">
      <t>ハイ</t>
    </rPh>
    <rPh sb="24" eb="26">
      <t>バアイ</t>
    </rPh>
    <rPh sb="31" eb="33">
      <t>ハンエイ</t>
    </rPh>
    <phoneticPr fontId="1"/>
  </si>
  <si>
    <t>個</t>
    <rPh sb="0" eb="1">
      <t>コ</t>
    </rPh>
    <phoneticPr fontId="1"/>
  </si>
  <si>
    <t>フェニックス</t>
    <phoneticPr fontId="1"/>
  </si>
  <si>
    <t>かもす 温泉豆乳ﾎﾞﾃﾞｨｿｰﾌﾟ  18L</t>
    <phoneticPr fontId="1"/>
  </si>
  <si>
    <t>フェニックス</t>
  </si>
  <si>
    <t>かもす 温泉豆乳ｼｬﾝﾌﾟｰ  18L</t>
    <phoneticPr fontId="1"/>
  </si>
  <si>
    <t>セット</t>
    <phoneticPr fontId="1"/>
  </si>
  <si>
    <t>かもす 温泉豆乳ｺﾝﾃﾞｨｼｮﾅｰ  18L</t>
    <phoneticPr fontId="1"/>
  </si>
  <si>
    <t>花蜜精みつばちﾊﾆｰﾎﾞﾃﾞｨｿｰﾌﾟ  18L</t>
    <phoneticPr fontId="1"/>
  </si>
  <si>
    <t>ﾐｵﾎﾞﾃﾞｨｿｰﾌﾟ 詰替用CBX  1000mL×8本</t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</si>
  <si>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</si>
  <si>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</si>
  <si>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</si>
  <si>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</si>
  <si>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</si>
  <si>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コメント1</t>
    <phoneticPr fontId="1"/>
  </si>
  <si>
    <t>コメント2</t>
  </si>
  <si>
    <t>コメント3</t>
  </si>
  <si>
    <t>コメント4</t>
  </si>
  <si>
    <t>コメント5</t>
  </si>
  <si>
    <t>長コメント1</t>
    <rPh sb="0" eb="1">
      <t>ナガ</t>
    </rPh>
    <phoneticPr fontId="1"/>
  </si>
  <si>
    <t>長コメント2</t>
    <rPh sb="0" eb="1">
      <t>ナガ</t>
    </rPh>
    <phoneticPr fontId="1"/>
  </si>
  <si>
    <t>長コメント3</t>
    <rPh sb="0" eb="1">
      <t>ナガ</t>
    </rPh>
    <phoneticPr fontId="1"/>
  </si>
  <si>
    <t>長コメント4</t>
    <rPh sb="0" eb="1">
      <t>ナガ</t>
    </rPh>
    <phoneticPr fontId="1"/>
  </si>
  <si>
    <t>長コメント5</t>
    <rPh sb="0" eb="1">
      <t>ナガ</t>
    </rPh>
    <phoneticPr fontId="1"/>
  </si>
  <si>
    <t>元画像格納フォルダ</t>
    <rPh sb="0" eb="3">
      <t>モトガゾウ</t>
    </rPh>
    <rPh sb="3" eb="5">
      <t>カクノウ</t>
    </rPh>
    <phoneticPr fontId="1"/>
  </si>
  <si>
    <t>コピー画像の保存先フォルダ</t>
    <rPh sb="3" eb="5">
      <t>ガゾウ</t>
    </rPh>
    <rPh sb="6" eb="8">
      <t>ホゾン</t>
    </rPh>
    <rPh sb="8" eb="9">
      <t>サキ</t>
    </rPh>
    <phoneticPr fontId="1"/>
  </si>
  <si>
    <t>一貫堂</t>
    <rPh sb="0" eb="3">
      <t>イッカンドウ</t>
    </rPh>
    <phoneticPr fontId="1"/>
  </si>
  <si>
    <t>トイレットペーパー</t>
    <phoneticPr fontId="1"/>
  </si>
  <si>
    <t>F</t>
    <phoneticPr fontId="1"/>
  </si>
  <si>
    <t>コメント6</t>
  </si>
  <si>
    <t>長コメント6</t>
    <rPh sb="0" eb="1">
      <t>ナガ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</si>
</sst>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176" fontId="0" fillId="0" borderId="0" xfId="0" applyNumberFormat="1">
      <alignment vertical="center"/>
    </xf>
    <xf numFmtId="9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0" borderId="0" xfId="0" applyFill="1">
      <alignment vertical="center"/>
    </xf>
    <xf numFmtId="176" fontId="0" fillId="0" borderId="0" xfId="0" applyNumberFormat="1" applyFill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205740</xdr:colOff>
          <xdr:row>5</xdr:row>
          <xdr:rowOff>190500</xdr:rowOff>
        </xdr:from>
        <xdr:to>
          <xdr:col>2</xdr:col>
          <xdr:colOff>1653540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463D7-9AD2-4D61-B2E6-F77502D8C3A7}">
  <sheetPr codeName="Sheet1"/>
  <dimension ref="C3:D4"/>
  <sheetViews>
    <sheetView showGridLines="0" tabSelected="1" workbookViewId="0"/>
  </sheetViews>
  <sheetFormatPr defaultRowHeight="18" x14ac:dyDescent="0.45"/>
  <cols>
    <col min="1" max="2" width="2.69921875" customWidth="1"/>
    <col min="3" max="3" width="26.09765625" bestFit="1" customWidth="1"/>
    <col min="4" max="4" width="64.796875" bestFit="1" customWidth="1"/>
  </cols>
  <sheetData>
    <row r="3" spans="3:4" x14ac:dyDescent="0.45">
      <c r="C3" s="7" t="s">
        <v>45</v>
      </c>
      <c r="D3" s="6"/>
    </row>
    <row r="4" spans="3:4" x14ac:dyDescent="0.45">
      <c r="C4" s="7" t="s">
        <v>46</v>
      </c>
      <c r="D4" s="6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Start">
                <anchor moveWithCells="1" sizeWithCells="1">
                  <from>
                    <xdr:col>2</xdr:col>
                    <xdr:colOff>205740</xdr:colOff>
                    <xdr:row>5</xdr:row>
                    <xdr:rowOff>190500</xdr:rowOff>
                  </from>
                  <to>
                    <xdr:col>2</xdr:col>
                    <xdr:colOff>1653540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F7A3-8E47-4AEF-AE32-B6B27B902E84}">
  <sheetPr codeName="Sheet2"/>
  <dimension ref="A1:AC7"/>
  <sheetViews>
    <sheetView topLeftCell="A4" workbookViewId="0">
      <selection activeCell="D23" sqref="D23:D24"/>
    </sheetView>
  </sheetViews>
  <sheetFormatPr defaultRowHeight="18" x14ac:dyDescent="0.45"/>
  <cols>
    <col min="1" max="1" width="8.59765625" bestFit="1" customWidth="1"/>
    <col min="2" max="2" width="14.3984375" bestFit="1" customWidth="1"/>
    <col min="3" max="4" width="6.796875" bestFit="1" customWidth="1"/>
    <col min="5" max="5" width="10.3984375" style="1" bestFit="1" customWidth="1"/>
    <col min="6" max="6" width="12.3984375" bestFit="1" customWidth="1"/>
    <col min="7" max="7" width="15.5" style="1" bestFit="1" customWidth="1"/>
    <col min="8" max="8" width="12.3984375" bestFit="1" customWidth="1"/>
    <col min="9" max="9" width="47.09765625" bestFit="1" customWidth="1"/>
    <col min="12" max="12" width="8.59765625" bestFit="1" customWidth="1"/>
    <col min="13" max="13" width="5" bestFit="1" customWidth="1"/>
    <col min="14" max="14" width="12.3984375" bestFit="1" customWidth="1"/>
  </cols>
  <sheetData>
    <row r="1" spans="1:29" s="4" customFormat="1" x14ac:dyDescent="0.45">
      <c r="A1" s="4" t="s">
        <v>0</v>
      </c>
      <c r="B1" s="4" t="s">
        <v>1</v>
      </c>
      <c r="C1" s="4" t="s">
        <v>2</v>
      </c>
      <c r="D1" s="4" t="s">
        <v>3</v>
      </c>
      <c r="E1" s="5" t="s">
        <v>4</v>
      </c>
      <c r="F1" s="4" t="s">
        <v>5</v>
      </c>
      <c r="G1" s="5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 t="s">
        <v>17</v>
      </c>
      <c r="S1" s="4" t="s">
        <v>18</v>
      </c>
      <c r="T1" s="4" t="s">
        <v>19</v>
      </c>
      <c r="U1" s="4" t="s">
        <v>20</v>
      </c>
      <c r="V1" s="4" t="s">
        <v>20</v>
      </c>
      <c r="W1" s="4" t="s">
        <v>20</v>
      </c>
      <c r="X1" s="4" t="s">
        <v>20</v>
      </c>
      <c r="Y1" s="4" t="s">
        <v>20</v>
      </c>
      <c r="Z1" s="4" t="s">
        <v>20</v>
      </c>
      <c r="AA1" s="4" t="s">
        <v>20</v>
      </c>
      <c r="AB1" s="4" t="s">
        <v>20</v>
      </c>
      <c r="AC1" s="4" t="s">
        <v>20</v>
      </c>
    </row>
    <row r="2" spans="1:29" x14ac:dyDescent="0.45">
      <c r="A2" t="s">
        <v>21</v>
      </c>
      <c r="B2">
        <v>5</v>
      </c>
      <c r="C2" s="3">
        <v>5.0000000000000001E-3</v>
      </c>
      <c r="F2">
        <v>1111</v>
      </c>
      <c r="G2" s="1">
        <v>4516552522125</v>
      </c>
      <c r="H2" t="s">
        <v>22</v>
      </c>
      <c r="I2" t="s">
        <v>23</v>
      </c>
      <c r="J2" t="s">
        <v>30</v>
      </c>
      <c r="K2">
        <v>100</v>
      </c>
      <c r="L2">
        <v>1000</v>
      </c>
      <c r="M2" s="2">
        <v>0.1</v>
      </c>
      <c r="N2">
        <f>IF(G2&gt;=1,ROUNDUP(L2*M2,0)+L2,"")</f>
        <v>1100</v>
      </c>
      <c r="O2">
        <v>500</v>
      </c>
      <c r="P2">
        <v>2000</v>
      </c>
      <c r="Q2" t="s">
        <v>35</v>
      </c>
      <c r="R2" t="s">
        <v>40</v>
      </c>
    </row>
    <row r="3" spans="1:29" x14ac:dyDescent="0.45">
      <c r="A3" t="s">
        <v>21</v>
      </c>
      <c r="B3">
        <v>10</v>
      </c>
      <c r="D3">
        <v>100</v>
      </c>
      <c r="F3">
        <v>2222</v>
      </c>
      <c r="G3" s="1">
        <v>4516552208835</v>
      </c>
      <c r="H3" t="s">
        <v>24</v>
      </c>
      <c r="I3" t="s">
        <v>25</v>
      </c>
      <c r="J3" t="s">
        <v>31</v>
      </c>
      <c r="K3">
        <v>150</v>
      </c>
      <c r="L3">
        <v>2000</v>
      </c>
      <c r="M3" s="2">
        <v>0.1</v>
      </c>
      <c r="N3">
        <f>IF(G3&gt;=1,ROUNDUP(L3*M3,0)+L3,"")</f>
        <v>2200</v>
      </c>
      <c r="O3">
        <v>500</v>
      </c>
      <c r="P3">
        <v>3000</v>
      </c>
      <c r="Q3" t="s">
        <v>36</v>
      </c>
      <c r="R3" t="s">
        <v>41</v>
      </c>
    </row>
    <row r="4" spans="1:29" x14ac:dyDescent="0.45">
      <c r="A4" t="s">
        <v>26</v>
      </c>
      <c r="B4">
        <v>20</v>
      </c>
      <c r="C4" s="2">
        <v>0.01</v>
      </c>
      <c r="F4">
        <v>3333</v>
      </c>
      <c r="G4" s="1">
        <v>4516552001606</v>
      </c>
      <c r="H4" t="s">
        <v>24</v>
      </c>
      <c r="I4" t="s">
        <v>27</v>
      </c>
      <c r="J4" t="s">
        <v>32</v>
      </c>
      <c r="K4">
        <v>200</v>
      </c>
      <c r="L4">
        <v>3000</v>
      </c>
      <c r="M4" s="2">
        <v>0.1</v>
      </c>
      <c r="N4">
        <f>IF(G4&gt;=1,ROUNDUP(L4*M4,0)+L4,"")</f>
        <v>3300</v>
      </c>
      <c r="O4">
        <v>500</v>
      </c>
      <c r="P4">
        <v>4000</v>
      </c>
      <c r="Q4" t="s">
        <v>37</v>
      </c>
      <c r="R4" t="s">
        <v>42</v>
      </c>
    </row>
    <row r="5" spans="1:29" x14ac:dyDescent="0.45">
      <c r="A5" t="s">
        <v>26</v>
      </c>
      <c r="B5">
        <v>10</v>
      </c>
      <c r="D5">
        <v>200</v>
      </c>
      <c r="F5">
        <v>4444</v>
      </c>
      <c r="G5" s="1">
        <v>4516552522583</v>
      </c>
      <c r="H5" t="s">
        <v>24</v>
      </c>
      <c r="I5" t="s">
        <v>28</v>
      </c>
      <c r="J5" t="s">
        <v>33</v>
      </c>
      <c r="K5">
        <v>250</v>
      </c>
      <c r="L5">
        <v>4000</v>
      </c>
      <c r="M5" s="2">
        <v>0.1</v>
      </c>
      <c r="N5">
        <f>IF(G5&gt;=1,ROUNDUP(L5*M5,0)+L5,"")</f>
        <v>4400</v>
      </c>
      <c r="O5">
        <v>500</v>
      </c>
      <c r="P5">
        <v>5000</v>
      </c>
      <c r="Q5" t="s">
        <v>38</v>
      </c>
      <c r="R5" t="s">
        <v>43</v>
      </c>
    </row>
    <row r="6" spans="1:29" x14ac:dyDescent="0.45">
      <c r="A6" t="s">
        <v>21</v>
      </c>
      <c r="B6">
        <v>8</v>
      </c>
      <c r="C6" s="2">
        <v>0.03</v>
      </c>
      <c r="F6">
        <v>5555</v>
      </c>
      <c r="G6" s="1">
        <v>4516552522655</v>
      </c>
      <c r="H6" t="s">
        <v>24</v>
      </c>
      <c r="I6" t="s">
        <v>29</v>
      </c>
      <c r="J6" t="s">
        <v>34</v>
      </c>
      <c r="K6">
        <v>300</v>
      </c>
      <c r="L6">
        <v>11000</v>
      </c>
      <c r="M6" s="2">
        <v>0.1</v>
      </c>
      <c r="N6">
        <f>IF(G6&gt;=1,ROUNDUP(L6*M6,0)+L6,"")</f>
        <v>12100</v>
      </c>
      <c r="O6">
        <v>1000</v>
      </c>
      <c r="P6">
        <v>20000</v>
      </c>
      <c r="Q6" t="s">
        <v>39</v>
      </c>
      <c r="R6" t="s">
        <v>44</v>
      </c>
    </row>
    <row r="7" spans="1:29" s="4" customFormat="1" x14ac:dyDescent="0.45">
      <c r="A7" t="s">
        <v>21</v>
      </c>
      <c r="B7" s="4">
        <v>10</v>
      </c>
      <c r="D7" s="4">
        <v>150</v>
      </c>
      <c r="E7" s="5"/>
      <c r="F7" s="4">
        <v>6666</v>
      </c>
      <c r="G7" s="5">
        <v>4977033310450</v>
      </c>
      <c r="H7" s="4" t="s">
        <v>47</v>
      </c>
      <c r="I7" s="4" t="s">
        <v>48</v>
      </c>
      <c r="J7" s="4" t="s">
        <v>49</v>
      </c>
      <c r="K7" s="4">
        <v>100</v>
      </c>
      <c r="L7" s="4">
        <v>1000</v>
      </c>
      <c r="M7" s="2">
        <v>0.1</v>
      </c>
      <c r="N7">
        <f>IF(G7&gt;=1,ROUNDUP(L7*M7,0)+L7,"")</f>
        <v>1100</v>
      </c>
      <c r="O7" s="4">
        <v>300</v>
      </c>
      <c r="P7" s="4">
        <v>1500</v>
      </c>
      <c r="Q7" t="s">
        <v>50</v>
      </c>
      <c r="R7" t="s">
        <v>51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マスタ作成</vt:lpstr>
      <vt:lpstr>貼付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加島稜大</dc:creator>
  <cp:lastModifiedBy>加島稜大</cp:lastModifiedBy>
  <dcterms:created xsi:type="dcterms:W3CDTF">2022-02-08T21:43:34Z</dcterms:created>
  <dcterms:modified xsi:type="dcterms:W3CDTF">2022-02-12T09:32:39Z</dcterms:modified>
</cp:coreProperties>
</file>