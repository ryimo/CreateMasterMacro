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1646577394ac76/本近慎一郎/VBA学習/マスタ組セット/"/>
    </mc:Choice>
  </mc:AlternateContent>
  <xr:revisionPtr revIDLastSave="165" documentId="8_{1F40D6AB-B200-406A-B74D-B556E55297C3}" xr6:coauthVersionLast="47" xr6:coauthVersionMax="47" xr10:uidLastSave="{EAA6DCCD-8011-4A78-9276-3D4177DCE656}"/>
  <bookViews>
    <workbookView xWindow="-110" yWindow="-110" windowWidth="19420" windowHeight="11620" xr2:uid="{5A0CCEA4-FE9C-49A3-917F-7CF9C749DC59}"/>
  </bookViews>
  <sheets>
    <sheet name="貼付" sheetId="1" r:id="rId1"/>
    <sheet name="マスタ登録抽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13" i="2"/>
  <c r="F14" i="2"/>
  <c r="F15" i="2"/>
  <c r="F16" i="2"/>
  <c r="F17" i="2"/>
  <c r="F18" i="2"/>
  <c r="F19" i="2"/>
  <c r="F12" i="2"/>
  <c r="F3" i="2"/>
  <c r="F4" i="2"/>
  <c r="F5" i="2"/>
  <c r="F6" i="2"/>
  <c r="F7" i="2"/>
  <c r="F8" i="2"/>
  <c r="F9" i="2"/>
  <c r="F10" i="2"/>
  <c r="F11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2" i="2"/>
  <c r="D30" i="2"/>
  <c r="I30" i="2"/>
  <c r="D31" i="2"/>
  <c r="I31" i="2"/>
  <c r="D23" i="2"/>
  <c r="I23" i="2"/>
  <c r="D24" i="2"/>
  <c r="I24" i="2"/>
  <c r="D25" i="2"/>
  <c r="I25" i="2"/>
  <c r="D26" i="2"/>
  <c r="I26" i="2"/>
  <c r="D27" i="2"/>
  <c r="I27" i="2"/>
  <c r="D28" i="2"/>
  <c r="I28" i="2"/>
  <c r="D29" i="2"/>
  <c r="I29" i="2"/>
  <c r="I22" i="2"/>
  <c r="D22" i="2"/>
  <c r="I13" i="2"/>
  <c r="I14" i="2"/>
  <c r="I15" i="2"/>
  <c r="I16" i="2"/>
  <c r="I17" i="2"/>
  <c r="I18" i="2"/>
  <c r="I19" i="2"/>
  <c r="I20" i="2"/>
  <c r="I21" i="2"/>
  <c r="I12" i="2"/>
  <c r="I2" i="2"/>
  <c r="D13" i="2"/>
  <c r="D14" i="2"/>
  <c r="D15" i="2"/>
  <c r="D16" i="2"/>
  <c r="D17" i="2"/>
  <c r="D18" i="2"/>
  <c r="D19" i="2"/>
  <c r="D20" i="2"/>
  <c r="D21" i="2"/>
  <c r="D12" i="2"/>
  <c r="D11" i="2"/>
  <c r="I3" i="2"/>
  <c r="I4" i="2"/>
  <c r="I5" i="2"/>
  <c r="I6" i="2"/>
  <c r="I7" i="2"/>
  <c r="I8" i="2"/>
  <c r="I9" i="2"/>
  <c r="I10" i="2"/>
  <c r="I11" i="2"/>
  <c r="D3" i="2"/>
  <c r="D4" i="2"/>
  <c r="D5" i="2"/>
  <c r="D6" i="2"/>
  <c r="D7" i="2"/>
  <c r="D8" i="2"/>
  <c r="D9" i="2"/>
  <c r="D10" i="2"/>
  <c r="D2" i="2"/>
  <c r="K3" i="2" l="1"/>
  <c r="K4" i="2"/>
  <c r="K12" i="2"/>
  <c r="K18" i="2"/>
  <c r="K14" i="2"/>
  <c r="K10" i="2"/>
  <c r="K6" i="2"/>
  <c r="K22" i="2"/>
  <c r="K28" i="2"/>
  <c r="K24" i="2"/>
  <c r="K2" i="2"/>
  <c r="K7" i="2"/>
  <c r="K8" i="2"/>
  <c r="K21" i="2"/>
  <c r="K17" i="2"/>
  <c r="K13" i="2"/>
  <c r="K9" i="2"/>
  <c r="K5" i="2"/>
  <c r="K16" i="2"/>
  <c r="K20" i="2"/>
  <c r="K11" i="2"/>
  <c r="K19" i="2"/>
  <c r="K15" i="2"/>
  <c r="K29" i="2"/>
  <c r="K27" i="2"/>
  <c r="K26" i="2"/>
  <c r="K25" i="2"/>
  <c r="K23" i="2"/>
  <c r="K31" i="2"/>
  <c r="K30" i="2"/>
</calcChain>
</file>

<file path=xl/sharedStrings.xml><?xml version="1.0" encoding="utf-8"?>
<sst xmlns="http://schemas.openxmlformats.org/spreadsheetml/2006/main" count="659" uniqueCount="146">
  <si>
    <t>商品コード</t>
    <rPh sb="0" eb="2">
      <t>ショウヒン</t>
    </rPh>
    <phoneticPr fontId="1"/>
  </si>
  <si>
    <t>仕入先コード</t>
    <rPh sb="0" eb="3">
      <t>シイレサキ</t>
    </rPh>
    <phoneticPr fontId="1"/>
  </si>
  <si>
    <t>JANコード</t>
  </si>
  <si>
    <t>ブランド</t>
  </si>
  <si>
    <t>商品名</t>
    <rPh sb="0" eb="3">
      <t>ショウヒンメイ</t>
    </rPh>
    <phoneticPr fontId="1"/>
  </si>
  <si>
    <t>規格</t>
    <rPh sb="0" eb="2">
      <t>キカク</t>
    </rPh>
    <phoneticPr fontId="1"/>
  </si>
  <si>
    <t>入り数</t>
    <rPh sb="0" eb="1">
      <t>イ</t>
    </rPh>
    <rPh sb="2" eb="3">
      <t>スウ</t>
    </rPh>
    <phoneticPr fontId="1"/>
  </si>
  <si>
    <t>本体価格</t>
    <rPh sb="0" eb="2">
      <t>ホンタイ</t>
    </rPh>
    <rPh sb="2" eb="4">
      <t>カカク</t>
    </rPh>
    <phoneticPr fontId="1"/>
  </si>
  <si>
    <t>№</t>
    <phoneticPr fontId="2"/>
  </si>
  <si>
    <t>-1</t>
  </si>
  <si>
    <t>-2</t>
  </si>
  <si>
    <t>-3</t>
  </si>
  <si>
    <t>-4</t>
  </si>
  <si>
    <t>-5</t>
  </si>
  <si>
    <t>-6</t>
  </si>
  <si>
    <t>-7</t>
  </si>
  <si>
    <t>-8</t>
  </si>
  <si>
    <t>-9</t>
  </si>
  <si>
    <t>-10</t>
  </si>
  <si>
    <t>フェニックス</t>
  </si>
  <si>
    <t>フェニックス</t>
    <phoneticPr fontId="2"/>
  </si>
  <si>
    <t>ﾐｵﾎﾞﾃﾞｨｿｰﾌﾟ  18L×1</t>
  </si>
  <si>
    <t>ﾐｵﾘﾝｽｲﾝｼｬﾝﾌﾟｰ 18L×1</t>
  </si>
  <si>
    <t>ﾐｵﾎﾞﾃﾞｨｿｰﾌﾟ 詰替用CBX  1000mL×8本</t>
  </si>
  <si>
    <t>ﾐｵﾘﾝｽｲﾝｼｬﾝﾌﾟｰ  詰替用CBX  1000mL×8本</t>
  </si>
  <si>
    <t>ﾊｰﾌﾞﾎﾞﾃﾞｨｿｰﾌﾟ  18L×1</t>
  </si>
  <si>
    <t>ﾊｰﾌﾞﾘﾝｽｲﾝｼｬﾝﾌﾟｰ  18L×1</t>
  </si>
  <si>
    <t>ﾊｰﾌﾞﾎﾞﾃﾞｨｿｰﾌﾟ  4L×4本</t>
  </si>
  <si>
    <t>ﾊｰﾌﾞﾘﾝｽｲﾝｼｬﾝﾌﾟｰ  4L×4本</t>
  </si>
  <si>
    <t>ﾊｰﾌﾞﾎﾞﾃﾞｨｿｰﾌﾟ  1000mL×12本</t>
  </si>
  <si>
    <t>ﾊｰﾌﾞﾘﾝｽｲﾝｼｬﾝﾌﾟｰ  1000mL×12本</t>
  </si>
  <si>
    <t>やさしいﾎﾞﾃﾞｨｿｰﾌﾟ  18L×1</t>
  </si>
  <si>
    <t>やさしいﾘﾝｽｲﾝｼｬﾝﾌﾟｰ  18L×1</t>
  </si>
  <si>
    <t>やさしいﾍｱｼｬﾝﾌﾟｰ  18L×1</t>
  </si>
  <si>
    <t>やさしいﾍｱﾘﾝｽ  18L×1</t>
  </si>
  <si>
    <t>馬油さくらﾎﾞﾃﾞｨｿｰﾌﾟ  18L×1</t>
  </si>
  <si>
    <t>馬油さくらｼｬﾝﾌﾟｰ  18L×1</t>
  </si>
  <si>
    <t>馬油さくらｺﾝﾃﾞｨｼｮﾅｰ  18L×1</t>
  </si>
  <si>
    <t>業務用入浴剤｢ﾕｽﾞ｣15kg(7.5kg×2)  7.5kg×2×1</t>
  </si>
  <si>
    <t>業務用入浴剤｢ｻｸﾗ｣15kg(7.5kg×2)  7.5kg×2×1</t>
  </si>
  <si>
    <t>業務用入浴剤｢ﾖﾓｷﾞ｣15kg(7.5kg×2)  7.5kg×2×1</t>
  </si>
  <si>
    <t>業務用入浴剤｢ﾛｰｽﾞ｣15kg(7.5kg×2)  7.5kg×2×1</t>
  </si>
  <si>
    <t>業務用入浴剤｢ﾐﾝﾄ｣15kg(7.5kg×2)  7.5kg×2×1</t>
  </si>
  <si>
    <t>業務用入浴剤｢ﾚﾓﾝ｣15kg(7.5kg×2)  7.5kg×2×1</t>
  </si>
  <si>
    <t>業務用入浴剤｢ﾗﾍﾞﾝﾀﾞｰ｣15kg(7.5kg×2)  7.5kg×2×1</t>
  </si>
  <si>
    <t>ｼﾞｬｽﾐﾝの湯 20kg入浴剤  10kg×2×1</t>
  </si>
  <si>
    <t>みかん  業務用20kg入浴剤  20kg×1</t>
  </si>
  <si>
    <t>新緑   業務用20kg入浴剤  20kg×1</t>
  </si>
  <si>
    <t>ｱﾗ!ｽｶﾙﾋﾟｽﾄ(ふけ取りｼｬﾝﾌﾟｰ)  1000mL×10本</t>
  </si>
  <si>
    <t>ｱﾗ!ﾎﾞﾃﾞｨｿｰﾌﾟ  18L×1</t>
  </si>
  <si>
    <t>ｱﾗ!ﾘﾝｽｲﾝｼｬﾝﾌﾟｰ  18L×1</t>
  </si>
  <si>
    <t>あたま&amp;からだｼｬﾝﾌﾟｰ  18L×1</t>
  </si>
  <si>
    <t>あたま&amp;からだｼｬﾝﾌﾟｰ  4L×4本</t>
  </si>
  <si>
    <t>ｱﾗ!薬用ﾅﾘｼﾝｸﾞﾏｲﾙﾄﾞEX   18L×1</t>
  </si>
  <si>
    <t>ｱﾗ!薬用ﾅﾘｼﾝｸﾞﾏｲﾙﾄﾞEX ﾎﾞﾄﾙﾀｲﾌﾟ  1000mL×12本</t>
  </si>
  <si>
    <t>ｱﾗ!弱酸性ﾎﾞﾃﾞｨｿｰﾌﾟ  1000mL×8本</t>
  </si>
  <si>
    <t>ｱﾗ!弱酸性ﾘﾝｽｲﾝｼｬﾝﾌﾟｰ  1000mL×8本</t>
  </si>
  <si>
    <t>ｱﾗ!ﾊﾝﾄﾞﾌｫｰﾑ 詰替用  1000mL×8本</t>
  </si>
  <si>
    <t>ｱﾗ!ﾊﾝﾄﾞﾌｫｰﾑ  ﾎﾞﾄﾙﾀｲﾌﾟ  500mL×15本</t>
  </si>
  <si>
    <t>ｱﾗ!弱酸性ﾎｲｯﾌﾟ&amp;ｳｫｯｼｭ ﾎﾞﾄﾙﾀｲﾌﾟ  500mL×15本</t>
  </si>
  <si>
    <t>ｱﾗ!泡ででる薬用手洗いｿｰﾌﾟ  詰替用  1000mL×8本</t>
  </si>
  <si>
    <t>ｱﾗ!泡ででる薬用手洗いｿｰﾌﾟ ﾎﾞﾄﾙﾀｲﾌﾟ  500mL×15本</t>
  </si>
  <si>
    <t>ｱﾗ!薬用ﾒﾃﾞｨﾌｫｰﾑ 詰替用  4L×4本</t>
  </si>
  <si>
    <t>ｱﾗ!薬用ﾒﾃﾞｨﾌｫｰﾑ ﾎﾞﾄﾙﾀｲﾌﾟ  500mL×15本</t>
  </si>
  <si>
    <t>ｱﾗ!薬用ﾒﾃﾞｨﾌｫｰﾑ 10L業務用  10L×1</t>
  </si>
  <si>
    <t>ｱﾗ!薬用ﾊﾝﾄﾞｿｰﾌﾟ        詰替用  1000mL×8本</t>
  </si>
  <si>
    <t>ｱﾗ!薬用ﾊﾝﾄﾞｿｰﾌﾟ       ﾎﾞﾄﾙﾀｲﾌﾟ  1000mL×12本</t>
  </si>
  <si>
    <t>Nｽﾀｰ 手指消毒 1L ﾆｲﾀｶ  1000mL×12本</t>
  </si>
  <si>
    <t>Nｽﾀｰ 手指消毒 5L ﾆｲﾀｶ  5L×4本</t>
  </si>
  <si>
    <t>Nｽﾀｰ 手指消毒 600mL ｻﾆｯﾄｹｱ  600mL×12本</t>
  </si>
  <si>
    <t>ｱﾗ!ﾊﾝﾄﾞﾐﾙｸ  295mL×20本</t>
  </si>
  <si>
    <t>ｱﾗ!馬油ﾎﾞﾃﾞｨﾐﾙｸ  200mL×20本</t>
  </si>
  <si>
    <t>ｱﾗ!ﾍﾞﾋﾞｰ沐浴液  500mL×12本</t>
  </si>
  <si>
    <t>ｱﾗ!清拭剤  1000mL×12本</t>
  </si>
  <si>
    <t>ｱﾗ!消臭除菌 極ﾐｽﾄ  10L×1</t>
  </si>
  <si>
    <t>ｱﾗ!ｱｸﾄﾌｫｰﾑ  4L×4本</t>
  </si>
  <si>
    <t>ｱﾗ!ｱｸﾄﾌｫｰﾑ  550mL×12本</t>
  </si>
  <si>
    <t>ｱﾗ!ｳｪﾙｹｱﾎﾞﾃﾞｨｿｰﾌﾟ  18L×1</t>
  </si>
  <si>
    <t>ｱﾗ!ｳｪﾙｹｱﾘﾝｽｲﾝｼｬﾝﾌﾟｰ  18L×1</t>
  </si>
  <si>
    <t>ｱﾗ!ｳｪﾙｹｱﾎﾞﾃﾞｨｿｰﾌﾟ  45mL×50本</t>
  </si>
  <si>
    <t>ｱﾗ!ｳｪﾙｹｱﾘﾝｽｲﾝｼｬﾝﾌﾟｰ  45mL×50本</t>
  </si>
  <si>
    <t>ｱﾗ!ゆずの湯  液体入浴料  4L×4本</t>
  </si>
  <si>
    <t>ｱﾗ!ｻﾎﾞﾝ･ｼﾞｬﾝﾃｨ  90g×20個</t>
  </si>
  <si>
    <t>ｱﾗ!ﾌﾙｰﾃｨﾎﾞﾃﾞｨｿｰﾌﾟ  18L×1</t>
  </si>
  <si>
    <t>ｱﾗ!ﾌﾙｰﾃｨﾘﾝｽｲﾝｼｬﾝﾌﾟｰ  18L×1</t>
  </si>
  <si>
    <t>ｱﾗ!ﾄﾞﾗｲﾅﾘｼﾝｸﾞ  本体  550mL×10本</t>
  </si>
  <si>
    <t>ｱﾗ!ﾄﾞﾗｲﾅﾘｼﾝｸﾞ  携帯用  100mL×30本</t>
  </si>
  <si>
    <t>ｱﾗ!ﾄﾞﾗｲﾅﾘｼﾝｸﾞ  業務用  4L×4本</t>
  </si>
  <si>
    <t>顔と手のｸﾘｱﾌｫｰﾑ 業務用  4L×4本</t>
  </si>
  <si>
    <t>ARA!薬用手洗い石けん  100g×60個</t>
  </si>
  <si>
    <t>木酢炭石鹸120g×48個</t>
  </si>
  <si>
    <t>竹酢竹石鹸120g×48個</t>
  </si>
  <si>
    <t>肌美人豆腐石鹸130g×40個</t>
  </si>
  <si>
    <t>花蜜精みつばちﾊﾆｰﾎﾞﾃﾞｨｿｰﾌﾟ500mL×15本</t>
  </si>
  <si>
    <t>花蜜精みつばちﾊﾆｰﾄﾘｰﾄﾒﾝﾄｼｬﾝﾌﾟｰ500mL×15本</t>
  </si>
  <si>
    <t>花蜜精みつばちﾊﾆｰﾍｱｺﾝﾃﾞｨｼｮﾅｰ500mL×15本</t>
  </si>
  <si>
    <t>花蜜精みつばちﾊﾆｰ美容ｼﾞｪﾙ100g×15個</t>
  </si>
  <si>
    <t>花蜜精はちみつｸﾚﾝｼﾞﾝｸﾞｿｰﾌﾟ85g×40個</t>
  </si>
  <si>
    <t>かもす 温泉豆乳ﾎﾞﾃﾞｨｿｰﾌﾟ350mL×15本</t>
  </si>
  <si>
    <t>かもす 温泉豆乳ｼｬﾝﾌﾟｰ350mL×15本</t>
  </si>
  <si>
    <t>かもす 温泉豆乳ｺﾝﾃﾞｨｼｮﾅｰ350mL×15本</t>
  </si>
  <si>
    <t>雪蜜馬油薬用ﾎﾞﾃﾞｨﾐﾙｸ200mL×20本</t>
  </si>
  <si>
    <t>雪蜜馬油ｱﾛﾏｿｰﾌﾟ100g×60個</t>
  </si>
  <si>
    <t>にほんのせっけん 30g ﾗﾍﾞﾝﾀﾞｰ馬油30g×100個</t>
  </si>
  <si>
    <t>にほんのせっけん 30g 炭30g×100個</t>
  </si>
  <si>
    <t>にほんのせっけん 30g 竹30g×100個</t>
  </si>
  <si>
    <t>にほんのせっけん 30g はちみつ30g×100個</t>
  </si>
  <si>
    <t>にほんのせっけん 30g さくら馬油30g×100個</t>
  </si>
  <si>
    <t>馬油さくら石鹸100g×50個</t>
  </si>
  <si>
    <t>馬油さくらﾎﾞﾃﾞｨｿｰﾌﾟ500mL×15本</t>
  </si>
  <si>
    <t>馬油さくらｼｬﾝﾌﾟｰ500mL×15本</t>
  </si>
  <si>
    <t>馬油さくらｺﾝﾃﾞｨｼｮﾅｰ500mL×15本</t>
  </si>
  <si>
    <t>馬油さくらWｺﾗｰｹﾞﾝｹﾞﾙ100g×15本</t>
  </si>
  <si>
    <t>馬油さくら化粧水150mL×20本</t>
  </si>
  <si>
    <t>ｱﾗ!ｻﾎﾞﾝ･ｼﾞｬﾝﾃｨ90g×20個</t>
  </si>
  <si>
    <t>AFTER WHITE ﾎﾟｰﾁｾｯﾄ80g×18個</t>
  </si>
  <si>
    <t>AFTER BLACK ﾎﾟｰﾁｾｯﾄ80g×18個</t>
  </si>
  <si>
    <t>AFTER WHITE 20g20g×200個</t>
  </si>
  <si>
    <t>AFTER BLACK 20g20g×200個</t>
  </si>
  <si>
    <t>福運石けん FK-2 70g前後×100個</t>
  </si>
  <si>
    <t>ﾎﾜｲﾄ石鹸  130g×150個</t>
  </si>
  <si>
    <t>ﾚﾓﾝ石鹸 5P  70g×5P×40包</t>
  </si>
  <si>
    <t>セット組</t>
    <rPh sb="3" eb="4">
      <t>クミ</t>
    </rPh>
    <phoneticPr fontId="2"/>
  </si>
  <si>
    <t>セット</t>
    <phoneticPr fontId="2"/>
  </si>
  <si>
    <t>個</t>
    <rPh sb="0" eb="1">
      <t>コ</t>
    </rPh>
    <phoneticPr fontId="2"/>
  </si>
  <si>
    <t>運賃</t>
    <rPh sb="0" eb="2">
      <t>ウンチン</t>
    </rPh>
    <phoneticPr fontId="2"/>
  </si>
  <si>
    <t>セット組作成数</t>
    <rPh sb="3" eb="4">
      <t>クミ</t>
    </rPh>
    <rPh sb="4" eb="6">
      <t>サクセイ</t>
    </rPh>
    <rPh sb="6" eb="7">
      <t>スウ</t>
    </rPh>
    <phoneticPr fontId="2"/>
  </si>
  <si>
    <t>税率</t>
    <rPh sb="0" eb="2">
      <t>ゼイリツ</t>
    </rPh>
    <phoneticPr fontId="2"/>
  </si>
  <si>
    <t>税込仕入単価</t>
    <rPh sb="0" eb="2">
      <t>ゼイコ</t>
    </rPh>
    <rPh sb="2" eb="4">
      <t>シイレ</t>
    </rPh>
    <rPh sb="4" eb="6">
      <t>タンカ</t>
    </rPh>
    <phoneticPr fontId="2"/>
  </si>
  <si>
    <t>かもす 温泉豆乳ﾎﾞﾃﾞｨｿｰﾌﾟ  18L</t>
    <phoneticPr fontId="2"/>
  </si>
  <si>
    <t>商品コメント（１言）</t>
    <rPh sb="0" eb="2">
      <t>ショウヒン</t>
    </rPh>
    <rPh sb="8" eb="9">
      <t>イ</t>
    </rPh>
    <phoneticPr fontId="2"/>
  </si>
  <si>
    <t>商品コメント（長め）</t>
    <rPh sb="0" eb="2">
      <t>ショウヒン</t>
    </rPh>
    <rPh sb="7" eb="8">
      <t>ナガ</t>
    </rPh>
    <phoneticPr fontId="2"/>
  </si>
  <si>
    <t>かもす 温泉豆乳ｺﾝﾃﾞｨｼｮﾅｰ  18L</t>
    <phoneticPr fontId="2"/>
  </si>
  <si>
    <t>花蜜精みつばちﾊﾆｰﾎﾞﾃﾞｨｿｰﾌﾟ  18L</t>
    <phoneticPr fontId="2"/>
  </si>
  <si>
    <t>花蜜精みつばちﾊﾆｰﾄﾘｰﾄﾒﾝﾄｼｬﾝﾌﾟｰ  18L</t>
    <phoneticPr fontId="2"/>
  </si>
  <si>
    <t>花蜜精みつばちﾊﾆｰﾍｱｺﾝﾃﾞｨｼｮﾅｰ  18L</t>
    <phoneticPr fontId="2"/>
  </si>
  <si>
    <t>自然にやさしいﾎﾞﾃﾞｨｿｰﾌﾟ  18L</t>
    <phoneticPr fontId="2"/>
  </si>
  <si>
    <t>自然にやさしいﾘﾝｽｲﾝｼｬﾝﾌﾟｰ  18L</t>
    <phoneticPr fontId="2"/>
  </si>
  <si>
    <t>かもす 温泉豆乳ｼｬﾝﾌﾟｰ  18L</t>
    <phoneticPr fontId="2"/>
  </si>
  <si>
    <t>税込売価</t>
    <rPh sb="0" eb="2">
      <t>ゼイコミ</t>
    </rPh>
    <rPh sb="2" eb="4">
      <t>バイカ</t>
    </rPh>
    <phoneticPr fontId="2"/>
  </si>
  <si>
    <t>ヤフオクカテゴリーID</t>
    <phoneticPr fontId="2"/>
  </si>
  <si>
    <t>楽天ディレクトリーID</t>
    <rPh sb="0" eb="2">
      <t>ラクテン</t>
    </rPh>
    <phoneticPr fontId="2"/>
  </si>
  <si>
    <t>個数（今だけ）</t>
    <rPh sb="0" eb="2">
      <t>コスウ</t>
    </rPh>
    <rPh sb="3" eb="4">
      <t>イマ</t>
    </rPh>
    <phoneticPr fontId="2"/>
  </si>
  <si>
    <t>項目は今後、増やすのでこの行にデータが入っている場合はマスタに反映</t>
    <rPh sb="0" eb="2">
      <t>コウモク</t>
    </rPh>
    <rPh sb="3" eb="5">
      <t>コンゴ</t>
    </rPh>
    <rPh sb="6" eb="7">
      <t>フ</t>
    </rPh>
    <rPh sb="13" eb="14">
      <t>ギョウ</t>
    </rPh>
    <rPh sb="19" eb="20">
      <t>ハイ</t>
    </rPh>
    <rPh sb="24" eb="26">
      <t>バアイ</t>
    </rPh>
    <rPh sb="31" eb="33">
      <t>ハンエイ</t>
    </rPh>
    <phoneticPr fontId="2"/>
  </si>
  <si>
    <t>割引率</t>
    <rPh sb="0" eb="3">
      <t>ワリビキリツ</t>
    </rPh>
    <phoneticPr fontId="2"/>
  </si>
  <si>
    <t>割引額</t>
    <rPh sb="0" eb="3">
      <t>ワリビキガク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</si>
</sst>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9AE-75B6-4D72-8F1C-848E62B657D0}">
  <dimension ref="A1:AL111"/>
  <sheetViews>
    <sheetView tabSelected="1" workbookViewId="0"/>
  </sheetViews>
  <sheetFormatPr defaultRowHeight="18" x14ac:dyDescent="0.55000000000000004"/>
  <cols>
    <col min="5" max="5" width="15.33203125" style="1" bestFit="1" customWidth="1"/>
    <col min="7" max="7" width="15.33203125" style="1" bestFit="1" customWidth="1"/>
  </cols>
  <sheetData>
    <row r="1" spans="1:38" x14ac:dyDescent="0.55000000000000004">
      <c r="A1" s="4" t="s">
        <v>122</v>
      </c>
      <c r="B1" s="4" t="s">
        <v>126</v>
      </c>
      <c r="C1" s="4" t="s">
        <v>144</v>
      </c>
      <c r="D1" s="4" t="s">
        <v>145</v>
      </c>
      <c r="E1" s="1" t="s">
        <v>0</v>
      </c>
      <c r="F1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127</v>
      </c>
      <c r="N1" s="4" t="s">
        <v>128</v>
      </c>
      <c r="O1" s="4" t="s">
        <v>125</v>
      </c>
      <c r="P1" s="4" t="s">
        <v>139</v>
      </c>
      <c r="Q1" s="4" t="s">
        <v>130</v>
      </c>
      <c r="R1" s="4" t="s">
        <v>131</v>
      </c>
      <c r="S1" s="4"/>
      <c r="T1" s="4" t="s">
        <v>140</v>
      </c>
      <c r="U1" s="4" t="s">
        <v>141</v>
      </c>
      <c r="V1" s="4"/>
      <c r="W1" s="5" t="s">
        <v>143</v>
      </c>
      <c r="X1" s="5" t="s">
        <v>143</v>
      </c>
      <c r="Y1" s="5" t="s">
        <v>143</v>
      </c>
      <c r="Z1" s="5" t="s">
        <v>143</v>
      </c>
      <c r="AA1" s="5" t="s">
        <v>143</v>
      </c>
      <c r="AB1" s="5" t="s">
        <v>143</v>
      </c>
      <c r="AC1" s="5" t="s">
        <v>143</v>
      </c>
      <c r="AD1" s="5" t="s">
        <v>143</v>
      </c>
      <c r="AE1" s="5" t="s">
        <v>143</v>
      </c>
      <c r="AF1" s="5"/>
      <c r="AG1" s="5"/>
      <c r="AH1" s="5"/>
      <c r="AI1" s="5"/>
      <c r="AJ1" s="5"/>
      <c r="AK1" s="5"/>
      <c r="AL1" s="5"/>
    </row>
    <row r="2" spans="1:38" x14ac:dyDescent="0.55000000000000004">
      <c r="A2" t="s">
        <v>124</v>
      </c>
      <c r="B2">
        <v>10</v>
      </c>
      <c r="F2">
        <v>1000</v>
      </c>
      <c r="G2" s="1">
        <v>4516552522125</v>
      </c>
      <c r="H2" t="s">
        <v>20</v>
      </c>
      <c r="I2" t="s">
        <v>129</v>
      </c>
      <c r="L2">
        <v>1000</v>
      </c>
      <c r="M2" s="2">
        <v>0.1</v>
      </c>
      <c r="N2">
        <f>IF(G2&gt;=1,ROUNDUP(L2*M2,0)+L2,"")</f>
        <v>1100</v>
      </c>
      <c r="O2">
        <v>500</v>
      </c>
      <c r="P2">
        <v>2000</v>
      </c>
    </row>
    <row r="3" spans="1:38" x14ac:dyDescent="0.55000000000000004">
      <c r="A3" t="s">
        <v>124</v>
      </c>
      <c r="B3">
        <v>20</v>
      </c>
      <c r="F3">
        <v>1000</v>
      </c>
      <c r="G3" s="1">
        <v>4516552208835</v>
      </c>
      <c r="H3" t="s">
        <v>19</v>
      </c>
      <c r="I3" t="s">
        <v>138</v>
      </c>
      <c r="L3">
        <v>2000</v>
      </c>
      <c r="M3" s="2">
        <v>0.1</v>
      </c>
      <c r="N3">
        <f t="shared" ref="N3:N66" si="0">IF(G3&gt;=1,ROUNDUP(L3*M3,0)+L3,"")</f>
        <v>2200</v>
      </c>
      <c r="O3">
        <v>500</v>
      </c>
    </row>
    <row r="4" spans="1:38" x14ac:dyDescent="0.55000000000000004">
      <c r="A4" t="s">
        <v>123</v>
      </c>
      <c r="B4">
        <v>30</v>
      </c>
      <c r="F4">
        <v>1000</v>
      </c>
      <c r="G4" s="1">
        <v>4516552001606</v>
      </c>
      <c r="H4" t="s">
        <v>19</v>
      </c>
      <c r="I4" t="s">
        <v>132</v>
      </c>
      <c r="L4">
        <v>3000</v>
      </c>
      <c r="M4" s="2">
        <v>0.1</v>
      </c>
      <c r="N4">
        <f t="shared" si="0"/>
        <v>3300</v>
      </c>
    </row>
    <row r="5" spans="1:38" x14ac:dyDescent="0.55000000000000004">
      <c r="B5">
        <v>40</v>
      </c>
      <c r="F5">
        <v>1000</v>
      </c>
      <c r="G5" s="1">
        <v>4516552522583</v>
      </c>
      <c r="H5" t="s">
        <v>19</v>
      </c>
      <c r="I5" t="s">
        <v>133</v>
      </c>
      <c r="L5">
        <v>4000</v>
      </c>
      <c r="M5" s="2">
        <v>0.1</v>
      </c>
      <c r="N5">
        <f t="shared" si="0"/>
        <v>4400</v>
      </c>
    </row>
    <row r="6" spans="1:38" x14ac:dyDescent="0.55000000000000004">
      <c r="F6">
        <v>1000</v>
      </c>
      <c r="G6" s="1">
        <v>4516552208162</v>
      </c>
      <c r="H6" t="s">
        <v>19</v>
      </c>
      <c r="I6" t="s">
        <v>134</v>
      </c>
      <c r="L6">
        <v>5000</v>
      </c>
      <c r="M6" s="2">
        <v>0.1</v>
      </c>
      <c r="N6">
        <f t="shared" si="0"/>
        <v>5500</v>
      </c>
    </row>
    <row r="7" spans="1:38" x14ac:dyDescent="0.55000000000000004">
      <c r="F7">
        <v>1000</v>
      </c>
      <c r="G7" s="1">
        <v>4516552001552</v>
      </c>
      <c r="H7" t="s">
        <v>19</v>
      </c>
      <c r="I7" t="s">
        <v>135</v>
      </c>
      <c r="L7">
        <v>6000</v>
      </c>
      <c r="M7" s="2">
        <v>0.1</v>
      </c>
      <c r="N7">
        <f t="shared" si="0"/>
        <v>6600</v>
      </c>
    </row>
    <row r="8" spans="1:38" x14ac:dyDescent="0.55000000000000004">
      <c r="F8">
        <v>1000</v>
      </c>
      <c r="G8" s="1">
        <v>4516552503632</v>
      </c>
      <c r="H8" t="s">
        <v>19</v>
      </c>
      <c r="I8" t="s">
        <v>136</v>
      </c>
      <c r="L8">
        <v>7000</v>
      </c>
      <c r="M8" s="2">
        <v>0.1</v>
      </c>
      <c r="N8">
        <f t="shared" si="0"/>
        <v>7700</v>
      </c>
    </row>
    <row r="9" spans="1:38" x14ac:dyDescent="0.55000000000000004">
      <c r="F9">
        <v>1000</v>
      </c>
      <c r="G9" s="1">
        <v>4516552504124</v>
      </c>
      <c r="H9" t="s">
        <v>19</v>
      </c>
      <c r="I9" t="s">
        <v>137</v>
      </c>
      <c r="L9">
        <v>8000</v>
      </c>
      <c r="M9" s="2">
        <v>0.1</v>
      </c>
      <c r="N9">
        <f t="shared" si="0"/>
        <v>8800</v>
      </c>
    </row>
    <row r="10" spans="1:38" x14ac:dyDescent="0.55000000000000004">
      <c r="F10">
        <v>1000</v>
      </c>
      <c r="G10" s="1">
        <v>4516552522352</v>
      </c>
      <c r="H10" t="s">
        <v>19</v>
      </c>
      <c r="I10" t="s">
        <v>21</v>
      </c>
      <c r="L10">
        <v>9000</v>
      </c>
      <c r="M10" s="2">
        <v>0.1</v>
      </c>
      <c r="N10">
        <f t="shared" si="0"/>
        <v>9900</v>
      </c>
    </row>
    <row r="11" spans="1:38" x14ac:dyDescent="0.55000000000000004">
      <c r="F11">
        <v>1000</v>
      </c>
      <c r="G11" s="1">
        <v>4516552506455</v>
      </c>
      <c r="H11" t="s">
        <v>19</v>
      </c>
      <c r="I11" t="s">
        <v>22</v>
      </c>
      <c r="L11">
        <v>10000</v>
      </c>
      <c r="M11" s="2">
        <v>0.1</v>
      </c>
      <c r="N11">
        <f t="shared" si="0"/>
        <v>11000</v>
      </c>
    </row>
    <row r="12" spans="1:38" x14ac:dyDescent="0.55000000000000004">
      <c r="F12">
        <v>1000</v>
      </c>
      <c r="G12" s="1">
        <v>4516552522655</v>
      </c>
      <c r="H12" t="s">
        <v>19</v>
      </c>
      <c r="I12" t="s">
        <v>23</v>
      </c>
      <c r="L12">
        <v>11000</v>
      </c>
      <c r="M12" s="2">
        <v>0.1</v>
      </c>
      <c r="N12">
        <f t="shared" si="0"/>
        <v>12100</v>
      </c>
    </row>
    <row r="13" spans="1:38" x14ac:dyDescent="0.55000000000000004">
      <c r="F13">
        <v>1000</v>
      </c>
      <c r="G13" s="1">
        <v>4516552520251</v>
      </c>
      <c r="H13" t="s">
        <v>19</v>
      </c>
      <c r="I13" t="s">
        <v>24</v>
      </c>
      <c r="L13">
        <v>12000</v>
      </c>
      <c r="M13" s="2">
        <v>0.1</v>
      </c>
      <c r="N13">
        <f t="shared" si="0"/>
        <v>13200</v>
      </c>
    </row>
    <row r="14" spans="1:38" x14ac:dyDescent="0.55000000000000004">
      <c r="F14">
        <v>1000</v>
      </c>
      <c r="G14" s="1">
        <v>4516552504415</v>
      </c>
      <c r="H14" t="s">
        <v>19</v>
      </c>
      <c r="I14" t="s">
        <v>25</v>
      </c>
      <c r="L14">
        <v>13000</v>
      </c>
      <c r="M14" s="2">
        <v>0.1</v>
      </c>
      <c r="N14">
        <f t="shared" si="0"/>
        <v>14300</v>
      </c>
    </row>
    <row r="15" spans="1:38" x14ac:dyDescent="0.55000000000000004">
      <c r="F15">
        <v>1000</v>
      </c>
      <c r="G15" s="1">
        <v>4516552505286</v>
      </c>
      <c r="H15" t="s">
        <v>19</v>
      </c>
      <c r="I15" t="s">
        <v>26</v>
      </c>
      <c r="L15">
        <v>14000</v>
      </c>
      <c r="M15" s="2">
        <v>0.1</v>
      </c>
      <c r="N15">
        <f t="shared" si="0"/>
        <v>15400</v>
      </c>
    </row>
    <row r="16" spans="1:38" x14ac:dyDescent="0.55000000000000004">
      <c r="F16">
        <v>1000</v>
      </c>
      <c r="G16" s="1">
        <v>4516552505452</v>
      </c>
      <c r="H16" t="s">
        <v>19</v>
      </c>
      <c r="I16" t="s">
        <v>27</v>
      </c>
      <c r="L16">
        <v>15000</v>
      </c>
      <c r="M16" s="2">
        <v>0.1</v>
      </c>
      <c r="N16">
        <f t="shared" si="0"/>
        <v>16500</v>
      </c>
    </row>
    <row r="17" spans="6:14" x14ac:dyDescent="0.55000000000000004">
      <c r="F17">
        <v>1000</v>
      </c>
      <c r="G17" s="1">
        <v>4516552505223</v>
      </c>
      <c r="H17" t="s">
        <v>19</v>
      </c>
      <c r="I17" t="s">
        <v>28</v>
      </c>
      <c r="L17">
        <v>16000</v>
      </c>
      <c r="M17" s="2">
        <v>0.1</v>
      </c>
      <c r="N17">
        <f t="shared" si="0"/>
        <v>17600</v>
      </c>
    </row>
    <row r="18" spans="6:14" x14ac:dyDescent="0.55000000000000004">
      <c r="F18">
        <v>1000</v>
      </c>
      <c r="G18" s="1">
        <v>4516552522051</v>
      </c>
      <c r="H18" t="s">
        <v>19</v>
      </c>
      <c r="I18" t="s">
        <v>29</v>
      </c>
      <c r="L18">
        <v>17000</v>
      </c>
      <c r="M18" s="2">
        <v>0.1</v>
      </c>
      <c r="N18">
        <f t="shared" si="0"/>
        <v>18700</v>
      </c>
    </row>
    <row r="19" spans="6:14" x14ac:dyDescent="0.55000000000000004">
      <c r="F19">
        <v>1000</v>
      </c>
      <c r="G19" s="1">
        <v>4516552506244</v>
      </c>
      <c r="H19" t="s">
        <v>19</v>
      </c>
      <c r="I19" t="s">
        <v>30</v>
      </c>
      <c r="L19">
        <v>18000</v>
      </c>
      <c r="M19" s="2">
        <v>0.1</v>
      </c>
      <c r="N19">
        <f t="shared" si="0"/>
        <v>19800</v>
      </c>
    </row>
    <row r="20" spans="6:14" x14ac:dyDescent="0.55000000000000004">
      <c r="F20">
        <v>1000</v>
      </c>
      <c r="G20" s="1">
        <v>4516552506542</v>
      </c>
      <c r="H20" t="s">
        <v>19</v>
      </c>
      <c r="I20" t="s">
        <v>31</v>
      </c>
      <c r="L20">
        <v>19000</v>
      </c>
      <c r="M20" s="2">
        <v>0.1</v>
      </c>
      <c r="N20">
        <f t="shared" si="0"/>
        <v>20900</v>
      </c>
    </row>
    <row r="21" spans="6:14" x14ac:dyDescent="0.55000000000000004">
      <c r="F21">
        <v>1000</v>
      </c>
      <c r="G21" s="1">
        <v>4516552506216</v>
      </c>
      <c r="H21" t="s">
        <v>19</v>
      </c>
      <c r="I21" t="s">
        <v>32</v>
      </c>
      <c r="L21">
        <v>20000</v>
      </c>
      <c r="M21" s="2">
        <v>0.1</v>
      </c>
      <c r="N21">
        <f t="shared" si="0"/>
        <v>22000</v>
      </c>
    </row>
    <row r="22" spans="6:14" x14ac:dyDescent="0.55000000000000004">
      <c r="F22">
        <v>1000</v>
      </c>
      <c r="G22" s="1">
        <v>4516552201382</v>
      </c>
      <c r="H22" t="s">
        <v>19</v>
      </c>
      <c r="I22" t="s">
        <v>33</v>
      </c>
      <c r="L22">
        <v>21000</v>
      </c>
      <c r="M22" s="2">
        <v>0.1</v>
      </c>
      <c r="N22">
        <f t="shared" si="0"/>
        <v>23100</v>
      </c>
    </row>
    <row r="23" spans="6:14" x14ac:dyDescent="0.55000000000000004">
      <c r="F23">
        <v>1000</v>
      </c>
      <c r="G23" s="1">
        <v>4516552001202</v>
      </c>
      <c r="H23" t="s">
        <v>19</v>
      </c>
      <c r="I23" t="s">
        <v>34</v>
      </c>
      <c r="L23">
        <v>22000</v>
      </c>
      <c r="M23" s="2">
        <v>0.1</v>
      </c>
      <c r="N23">
        <f t="shared" si="0"/>
        <v>24200</v>
      </c>
    </row>
    <row r="24" spans="6:14" x14ac:dyDescent="0.55000000000000004">
      <c r="F24">
        <v>1000</v>
      </c>
      <c r="G24" s="1">
        <v>4516552522452</v>
      </c>
      <c r="H24" t="s">
        <v>19</v>
      </c>
      <c r="I24" t="s">
        <v>35</v>
      </c>
      <c r="L24">
        <v>23000</v>
      </c>
      <c r="M24" s="2">
        <v>0.1</v>
      </c>
      <c r="N24">
        <f t="shared" si="0"/>
        <v>25300</v>
      </c>
    </row>
    <row r="25" spans="6:14" x14ac:dyDescent="0.55000000000000004">
      <c r="F25">
        <v>1000</v>
      </c>
      <c r="G25" s="1">
        <v>4516552208123</v>
      </c>
      <c r="H25" t="s">
        <v>19</v>
      </c>
      <c r="I25" t="s">
        <v>36</v>
      </c>
      <c r="L25">
        <v>24000</v>
      </c>
      <c r="M25" s="2">
        <v>0.1</v>
      </c>
      <c r="N25">
        <f t="shared" si="0"/>
        <v>26400</v>
      </c>
    </row>
    <row r="26" spans="6:14" x14ac:dyDescent="0.55000000000000004">
      <c r="F26">
        <v>1000</v>
      </c>
      <c r="G26" s="1">
        <v>4516552001501</v>
      </c>
      <c r="H26" t="s">
        <v>19</v>
      </c>
      <c r="I26" t="s">
        <v>37</v>
      </c>
      <c r="L26">
        <v>25000</v>
      </c>
      <c r="M26" s="2">
        <v>0.1</v>
      </c>
      <c r="N26">
        <f t="shared" si="0"/>
        <v>27500</v>
      </c>
    </row>
    <row r="27" spans="6:14" x14ac:dyDescent="0.55000000000000004">
      <c r="F27">
        <v>1000</v>
      </c>
      <c r="G27" s="1">
        <v>4538265502052</v>
      </c>
      <c r="H27" t="s">
        <v>19</v>
      </c>
      <c r="I27" t="s">
        <v>38</v>
      </c>
      <c r="L27">
        <v>26000</v>
      </c>
      <c r="M27" s="2">
        <v>0.1</v>
      </c>
      <c r="N27">
        <f t="shared" si="0"/>
        <v>28600</v>
      </c>
    </row>
    <row r="28" spans="6:14" x14ac:dyDescent="0.55000000000000004">
      <c r="F28">
        <v>1000</v>
      </c>
      <c r="G28" s="1">
        <v>4538265502024</v>
      </c>
      <c r="H28" t="s">
        <v>19</v>
      </c>
      <c r="I28" t="s">
        <v>39</v>
      </c>
      <c r="L28">
        <v>27000</v>
      </c>
      <c r="M28" s="2">
        <v>0.1</v>
      </c>
      <c r="N28">
        <f t="shared" si="0"/>
        <v>29700</v>
      </c>
    </row>
    <row r="29" spans="6:14" x14ac:dyDescent="0.55000000000000004">
      <c r="F29">
        <v>1000</v>
      </c>
      <c r="G29" s="1">
        <v>4538265502038</v>
      </c>
      <c r="H29" t="s">
        <v>19</v>
      </c>
      <c r="I29" t="s">
        <v>40</v>
      </c>
      <c r="L29">
        <v>28000</v>
      </c>
      <c r="M29" s="2">
        <v>0.1</v>
      </c>
      <c r="N29">
        <f t="shared" si="0"/>
        <v>30800</v>
      </c>
    </row>
    <row r="30" spans="6:14" x14ac:dyDescent="0.55000000000000004">
      <c r="F30">
        <v>1000</v>
      </c>
      <c r="G30" s="1">
        <v>4538265502016</v>
      </c>
      <c r="H30" t="s">
        <v>19</v>
      </c>
      <c r="I30" t="s">
        <v>41</v>
      </c>
      <c r="L30">
        <v>29000</v>
      </c>
      <c r="M30" s="2">
        <v>0.1</v>
      </c>
      <c r="N30">
        <f t="shared" si="0"/>
        <v>31900</v>
      </c>
    </row>
    <row r="31" spans="6:14" x14ac:dyDescent="0.55000000000000004">
      <c r="F31">
        <v>1000</v>
      </c>
      <c r="G31" s="1">
        <v>4538265500232</v>
      </c>
      <c r="H31" t="s">
        <v>19</v>
      </c>
      <c r="I31" t="s">
        <v>42</v>
      </c>
      <c r="L31">
        <v>30000</v>
      </c>
      <c r="M31" s="2">
        <v>0.1</v>
      </c>
      <c r="N31">
        <f t="shared" si="0"/>
        <v>33000</v>
      </c>
    </row>
    <row r="32" spans="6:14" x14ac:dyDescent="0.55000000000000004">
      <c r="F32">
        <v>1000</v>
      </c>
      <c r="G32" s="1">
        <v>4538265500255</v>
      </c>
      <c r="H32" t="s">
        <v>19</v>
      </c>
      <c r="I32" t="s">
        <v>43</v>
      </c>
      <c r="L32">
        <v>31000</v>
      </c>
      <c r="M32" s="2">
        <v>0.1</v>
      </c>
      <c r="N32">
        <f t="shared" si="0"/>
        <v>34100</v>
      </c>
    </row>
    <row r="33" spans="6:14" x14ac:dyDescent="0.55000000000000004">
      <c r="F33">
        <v>1000</v>
      </c>
      <c r="G33" s="1">
        <v>4538265502050</v>
      </c>
      <c r="H33" t="s">
        <v>19</v>
      </c>
      <c r="I33" t="s">
        <v>44</v>
      </c>
      <c r="L33">
        <v>32000</v>
      </c>
      <c r="M33" s="2">
        <v>0.1</v>
      </c>
      <c r="N33">
        <f t="shared" si="0"/>
        <v>35200</v>
      </c>
    </row>
    <row r="34" spans="6:14" x14ac:dyDescent="0.55000000000000004">
      <c r="F34">
        <v>1000</v>
      </c>
      <c r="G34" s="1">
        <v>4538265502223</v>
      </c>
      <c r="H34" t="s">
        <v>19</v>
      </c>
      <c r="I34" t="s">
        <v>45</v>
      </c>
      <c r="L34">
        <v>33000</v>
      </c>
      <c r="M34" s="2">
        <v>0.1</v>
      </c>
      <c r="N34">
        <f t="shared" si="0"/>
        <v>36300</v>
      </c>
    </row>
    <row r="35" spans="6:14" x14ac:dyDescent="0.55000000000000004">
      <c r="F35">
        <v>1000</v>
      </c>
      <c r="G35" s="1">
        <v>4538265502220</v>
      </c>
      <c r="H35" t="s">
        <v>19</v>
      </c>
      <c r="I35" t="s">
        <v>46</v>
      </c>
      <c r="L35">
        <v>34000</v>
      </c>
      <c r="M35" s="2">
        <v>0.1</v>
      </c>
      <c r="N35">
        <f t="shared" si="0"/>
        <v>37400</v>
      </c>
    </row>
    <row r="36" spans="6:14" x14ac:dyDescent="0.55000000000000004">
      <c r="F36">
        <v>1000</v>
      </c>
      <c r="G36" s="1">
        <v>4538265502244</v>
      </c>
      <c r="H36" t="s">
        <v>19</v>
      </c>
      <c r="I36" t="s">
        <v>47</v>
      </c>
      <c r="L36">
        <v>35000</v>
      </c>
      <c r="M36" s="2">
        <v>0.1</v>
      </c>
      <c r="N36">
        <f t="shared" si="0"/>
        <v>38500</v>
      </c>
    </row>
    <row r="37" spans="6:14" x14ac:dyDescent="0.55000000000000004">
      <c r="F37">
        <v>1000</v>
      </c>
      <c r="G37" s="1">
        <v>4516552208825</v>
      </c>
      <c r="H37" t="s">
        <v>19</v>
      </c>
      <c r="I37" t="s">
        <v>48</v>
      </c>
      <c r="L37">
        <v>36000</v>
      </c>
      <c r="M37" s="2">
        <v>0.1</v>
      </c>
      <c r="N37">
        <f t="shared" si="0"/>
        <v>39600</v>
      </c>
    </row>
    <row r="38" spans="6:14" x14ac:dyDescent="0.55000000000000004">
      <c r="F38">
        <v>1000</v>
      </c>
      <c r="G38" s="1">
        <v>4516552522631</v>
      </c>
      <c r="H38" t="s">
        <v>19</v>
      </c>
      <c r="I38" t="s">
        <v>49</v>
      </c>
      <c r="L38">
        <v>37000</v>
      </c>
      <c r="M38" s="2">
        <v>0.1</v>
      </c>
      <c r="N38">
        <f t="shared" si="0"/>
        <v>40700</v>
      </c>
    </row>
    <row r="39" spans="6:14" x14ac:dyDescent="0.55000000000000004">
      <c r="F39">
        <v>1000</v>
      </c>
      <c r="G39" s="1">
        <v>4516552520226</v>
      </c>
      <c r="H39" t="s">
        <v>19</v>
      </c>
      <c r="I39" t="s">
        <v>50</v>
      </c>
      <c r="L39">
        <v>38000</v>
      </c>
      <c r="M39" s="2">
        <v>0.1</v>
      </c>
      <c r="N39">
        <f t="shared" si="0"/>
        <v>41800</v>
      </c>
    </row>
    <row r="40" spans="6:14" x14ac:dyDescent="0.55000000000000004">
      <c r="F40">
        <v>1000</v>
      </c>
      <c r="G40" s="1">
        <v>4516552200545</v>
      </c>
      <c r="H40" t="s">
        <v>19</v>
      </c>
      <c r="I40" t="s">
        <v>51</v>
      </c>
      <c r="L40">
        <v>39000</v>
      </c>
      <c r="M40" s="2">
        <v>0.1</v>
      </c>
      <c r="N40">
        <f t="shared" si="0"/>
        <v>42900</v>
      </c>
    </row>
    <row r="41" spans="6:14" x14ac:dyDescent="0.55000000000000004">
      <c r="F41">
        <v>1000</v>
      </c>
      <c r="G41" s="1">
        <v>4516552200840</v>
      </c>
      <c r="H41" t="s">
        <v>19</v>
      </c>
      <c r="I41" t="s">
        <v>52</v>
      </c>
      <c r="L41">
        <v>40000</v>
      </c>
      <c r="M41" s="2">
        <v>0.1</v>
      </c>
      <c r="N41">
        <f t="shared" si="0"/>
        <v>44000</v>
      </c>
    </row>
    <row r="42" spans="6:14" x14ac:dyDescent="0.55000000000000004">
      <c r="F42">
        <v>1000</v>
      </c>
      <c r="G42" s="1">
        <v>4516552522323</v>
      </c>
      <c r="H42" t="s">
        <v>19</v>
      </c>
      <c r="I42" t="s">
        <v>53</v>
      </c>
      <c r="L42">
        <v>41000</v>
      </c>
      <c r="M42" s="2">
        <v>0.1</v>
      </c>
      <c r="N42">
        <f t="shared" si="0"/>
        <v>45100</v>
      </c>
    </row>
    <row r="43" spans="6:14" x14ac:dyDescent="0.55000000000000004">
      <c r="F43">
        <v>1000</v>
      </c>
      <c r="G43" s="1">
        <v>4516552522330</v>
      </c>
      <c r="H43" t="s">
        <v>19</v>
      </c>
      <c r="I43" t="s">
        <v>54</v>
      </c>
      <c r="L43">
        <v>42000</v>
      </c>
      <c r="M43" s="2">
        <v>0.1</v>
      </c>
      <c r="N43">
        <f t="shared" si="0"/>
        <v>46200</v>
      </c>
    </row>
    <row r="44" spans="6:14" x14ac:dyDescent="0.55000000000000004">
      <c r="F44">
        <v>1000</v>
      </c>
      <c r="G44" s="1">
        <v>4516552522682</v>
      </c>
      <c r="H44" t="s">
        <v>19</v>
      </c>
      <c r="I44" t="s">
        <v>55</v>
      </c>
      <c r="L44">
        <v>43000</v>
      </c>
      <c r="M44" s="2">
        <v>0.1</v>
      </c>
      <c r="N44">
        <f t="shared" si="0"/>
        <v>47300</v>
      </c>
    </row>
    <row r="45" spans="6:14" x14ac:dyDescent="0.55000000000000004">
      <c r="F45">
        <v>1000</v>
      </c>
      <c r="G45" s="1">
        <v>4516552520240</v>
      </c>
      <c r="H45" t="s">
        <v>19</v>
      </c>
      <c r="I45" t="s">
        <v>56</v>
      </c>
      <c r="L45">
        <v>44000</v>
      </c>
      <c r="M45" s="2">
        <v>0.1</v>
      </c>
      <c r="N45">
        <f t="shared" si="0"/>
        <v>48400</v>
      </c>
    </row>
    <row r="46" spans="6:14" x14ac:dyDescent="0.55000000000000004">
      <c r="F46">
        <v>1000</v>
      </c>
      <c r="G46" s="1">
        <v>4516552025453</v>
      </c>
      <c r="H46" t="s">
        <v>19</v>
      </c>
      <c r="I46" t="s">
        <v>57</v>
      </c>
      <c r="L46">
        <v>45000</v>
      </c>
      <c r="M46" s="2">
        <v>0.1</v>
      </c>
      <c r="N46">
        <f t="shared" si="0"/>
        <v>49500</v>
      </c>
    </row>
    <row r="47" spans="6:14" x14ac:dyDescent="0.55000000000000004">
      <c r="F47">
        <v>1000</v>
      </c>
      <c r="G47" s="1">
        <v>4516552024505</v>
      </c>
      <c r="H47" t="s">
        <v>19</v>
      </c>
      <c r="I47" t="s">
        <v>58</v>
      </c>
      <c r="L47">
        <v>46000</v>
      </c>
      <c r="M47" s="2">
        <v>0.1</v>
      </c>
      <c r="N47">
        <f t="shared" si="0"/>
        <v>50600</v>
      </c>
    </row>
    <row r="48" spans="6:14" x14ac:dyDescent="0.55000000000000004">
      <c r="F48">
        <v>1000</v>
      </c>
      <c r="G48" s="1">
        <v>4516552024855</v>
      </c>
      <c r="H48" t="s">
        <v>19</v>
      </c>
      <c r="I48" t="s">
        <v>59</v>
      </c>
      <c r="L48">
        <v>47000</v>
      </c>
      <c r="M48" s="2">
        <v>0.1</v>
      </c>
      <c r="N48">
        <f t="shared" si="0"/>
        <v>51700</v>
      </c>
    </row>
    <row r="49" spans="6:14" x14ac:dyDescent="0.55000000000000004">
      <c r="F49">
        <v>1000</v>
      </c>
      <c r="G49" s="1">
        <v>4516552025485</v>
      </c>
      <c r="H49" t="s">
        <v>19</v>
      </c>
      <c r="I49" t="s">
        <v>60</v>
      </c>
      <c r="L49">
        <v>48000</v>
      </c>
      <c r="M49" s="2">
        <v>0.1</v>
      </c>
      <c r="N49">
        <f t="shared" si="0"/>
        <v>52800</v>
      </c>
    </row>
    <row r="50" spans="6:14" x14ac:dyDescent="0.55000000000000004">
      <c r="F50">
        <v>1000</v>
      </c>
      <c r="G50" s="1">
        <v>4516552025083</v>
      </c>
      <c r="H50" t="s">
        <v>19</v>
      </c>
      <c r="I50" t="s">
        <v>61</v>
      </c>
      <c r="L50">
        <v>49000</v>
      </c>
      <c r="M50" s="2">
        <v>0.1</v>
      </c>
      <c r="N50">
        <f t="shared" si="0"/>
        <v>53900</v>
      </c>
    </row>
    <row r="51" spans="6:14" x14ac:dyDescent="0.55000000000000004">
      <c r="F51">
        <v>1000</v>
      </c>
      <c r="G51" s="1">
        <v>4516552025038</v>
      </c>
      <c r="H51" t="s">
        <v>19</v>
      </c>
      <c r="I51" t="s">
        <v>62</v>
      </c>
      <c r="L51">
        <v>50000</v>
      </c>
      <c r="M51" s="2">
        <v>0.1</v>
      </c>
      <c r="N51">
        <f t="shared" si="0"/>
        <v>55000</v>
      </c>
    </row>
    <row r="52" spans="6:14" x14ac:dyDescent="0.55000000000000004">
      <c r="F52">
        <v>1000</v>
      </c>
      <c r="G52" s="1">
        <v>4516552025045</v>
      </c>
      <c r="H52" t="s">
        <v>19</v>
      </c>
      <c r="I52" t="s">
        <v>63</v>
      </c>
      <c r="L52">
        <v>51000</v>
      </c>
      <c r="M52" s="2">
        <v>0.1</v>
      </c>
      <c r="N52">
        <f t="shared" si="0"/>
        <v>56100</v>
      </c>
    </row>
    <row r="53" spans="6:14" x14ac:dyDescent="0.55000000000000004">
      <c r="F53">
        <v>1000</v>
      </c>
      <c r="G53" s="1">
        <v>4516552025502</v>
      </c>
      <c r="H53" t="s">
        <v>19</v>
      </c>
      <c r="I53" t="s">
        <v>64</v>
      </c>
      <c r="L53">
        <v>52000</v>
      </c>
      <c r="M53" s="2">
        <v>0.1</v>
      </c>
      <c r="N53">
        <f t="shared" si="0"/>
        <v>57200</v>
      </c>
    </row>
    <row r="54" spans="6:14" x14ac:dyDescent="0.55000000000000004">
      <c r="F54">
        <v>1000</v>
      </c>
      <c r="G54" s="1">
        <v>4516552025412</v>
      </c>
      <c r="H54" t="s">
        <v>19</v>
      </c>
      <c r="I54" t="s">
        <v>65</v>
      </c>
      <c r="L54">
        <v>53000</v>
      </c>
      <c r="M54" s="2">
        <v>0.1</v>
      </c>
      <c r="N54">
        <f t="shared" si="0"/>
        <v>58300</v>
      </c>
    </row>
    <row r="55" spans="6:14" x14ac:dyDescent="0.55000000000000004">
      <c r="F55">
        <v>1000</v>
      </c>
      <c r="G55" s="1">
        <v>4516552505658</v>
      </c>
      <c r="H55" t="s">
        <v>19</v>
      </c>
      <c r="I55" t="s">
        <v>66</v>
      </c>
      <c r="L55">
        <v>54000</v>
      </c>
      <c r="M55" s="2">
        <v>0.1</v>
      </c>
      <c r="N55">
        <f t="shared" si="0"/>
        <v>59400</v>
      </c>
    </row>
    <row r="56" spans="6:14" x14ac:dyDescent="0.55000000000000004">
      <c r="F56">
        <v>1000</v>
      </c>
      <c r="G56" s="1">
        <v>4515651210126</v>
      </c>
      <c r="H56" t="s">
        <v>19</v>
      </c>
      <c r="I56" t="s">
        <v>67</v>
      </c>
      <c r="L56">
        <v>55000</v>
      </c>
      <c r="M56" s="2">
        <v>0.1</v>
      </c>
      <c r="N56">
        <f t="shared" si="0"/>
        <v>60500</v>
      </c>
    </row>
    <row r="57" spans="6:14" x14ac:dyDescent="0.55000000000000004">
      <c r="F57">
        <v>1000</v>
      </c>
      <c r="G57" s="1">
        <v>4515651210106</v>
      </c>
      <c r="H57" t="s">
        <v>19</v>
      </c>
      <c r="I57" t="s">
        <v>68</v>
      </c>
      <c r="L57">
        <v>56000</v>
      </c>
      <c r="M57" s="2">
        <v>0.1</v>
      </c>
      <c r="N57">
        <f t="shared" si="0"/>
        <v>61600</v>
      </c>
    </row>
    <row r="58" spans="6:14" x14ac:dyDescent="0.55000000000000004">
      <c r="F58">
        <v>1000</v>
      </c>
      <c r="G58" s="1">
        <v>4515651210118</v>
      </c>
      <c r="H58" t="s">
        <v>19</v>
      </c>
      <c r="I58" t="s">
        <v>69</v>
      </c>
      <c r="L58">
        <v>57000</v>
      </c>
      <c r="M58" s="2">
        <v>0.1</v>
      </c>
      <c r="N58">
        <f t="shared" si="0"/>
        <v>62700</v>
      </c>
    </row>
    <row r="59" spans="6:14" x14ac:dyDescent="0.55000000000000004">
      <c r="F59">
        <v>1000</v>
      </c>
      <c r="G59" s="1">
        <v>4516552025282</v>
      </c>
      <c r="H59" t="s">
        <v>19</v>
      </c>
      <c r="I59" t="s">
        <v>70</v>
      </c>
      <c r="L59">
        <v>58000</v>
      </c>
      <c r="M59" s="2">
        <v>0.1</v>
      </c>
      <c r="N59">
        <f t="shared" si="0"/>
        <v>63800</v>
      </c>
    </row>
    <row r="60" spans="6:14" x14ac:dyDescent="0.55000000000000004">
      <c r="F60">
        <v>1000</v>
      </c>
      <c r="G60" s="1">
        <v>4516552022860</v>
      </c>
      <c r="H60" t="s">
        <v>19</v>
      </c>
      <c r="I60" t="s">
        <v>71</v>
      </c>
      <c r="L60">
        <v>59000</v>
      </c>
      <c r="M60" s="2">
        <v>0.1</v>
      </c>
      <c r="N60">
        <f t="shared" si="0"/>
        <v>64900</v>
      </c>
    </row>
    <row r="61" spans="6:14" x14ac:dyDescent="0.55000000000000004">
      <c r="F61">
        <v>1000</v>
      </c>
      <c r="G61" s="1">
        <v>4516552023584</v>
      </c>
      <c r="H61" t="s">
        <v>19</v>
      </c>
      <c r="I61" t="s">
        <v>72</v>
      </c>
      <c r="L61">
        <v>60000</v>
      </c>
      <c r="M61" s="2">
        <v>0.1</v>
      </c>
      <c r="N61">
        <f t="shared" si="0"/>
        <v>66000</v>
      </c>
    </row>
    <row r="62" spans="6:14" x14ac:dyDescent="0.55000000000000004">
      <c r="F62">
        <v>1000</v>
      </c>
      <c r="G62" s="1">
        <v>4516552020105</v>
      </c>
      <c r="H62" t="s">
        <v>19</v>
      </c>
      <c r="I62" t="s">
        <v>73</v>
      </c>
      <c r="L62">
        <v>61000</v>
      </c>
      <c r="M62" s="2">
        <v>0.1</v>
      </c>
      <c r="N62">
        <f t="shared" si="0"/>
        <v>67100</v>
      </c>
    </row>
    <row r="63" spans="6:14" x14ac:dyDescent="0.55000000000000004">
      <c r="F63">
        <v>1000</v>
      </c>
      <c r="G63" s="1">
        <v>4516552008658</v>
      </c>
      <c r="H63" t="s">
        <v>19</v>
      </c>
      <c r="I63" t="s">
        <v>74</v>
      </c>
      <c r="L63">
        <v>62000</v>
      </c>
      <c r="M63" s="2">
        <v>0.1</v>
      </c>
      <c r="N63">
        <f t="shared" si="0"/>
        <v>68200</v>
      </c>
    </row>
    <row r="64" spans="6:14" x14ac:dyDescent="0.55000000000000004">
      <c r="F64">
        <v>1000</v>
      </c>
      <c r="G64" s="1">
        <v>4516552025024</v>
      </c>
      <c r="H64" t="s">
        <v>19</v>
      </c>
      <c r="I64" t="s">
        <v>75</v>
      </c>
      <c r="L64">
        <v>63000</v>
      </c>
      <c r="M64" s="2">
        <v>0.1</v>
      </c>
      <c r="N64">
        <f t="shared" si="0"/>
        <v>69300</v>
      </c>
    </row>
    <row r="65" spans="6:14" x14ac:dyDescent="0.55000000000000004">
      <c r="F65">
        <v>1000</v>
      </c>
      <c r="G65" s="1">
        <v>4516552025252</v>
      </c>
      <c r="H65" t="s">
        <v>19</v>
      </c>
      <c r="I65" t="s">
        <v>76</v>
      </c>
      <c r="L65">
        <v>64000</v>
      </c>
      <c r="M65" s="2">
        <v>0.1</v>
      </c>
      <c r="N65">
        <f t="shared" si="0"/>
        <v>70400</v>
      </c>
    </row>
    <row r="66" spans="6:14" x14ac:dyDescent="0.55000000000000004">
      <c r="F66">
        <v>1000</v>
      </c>
      <c r="G66" s="1">
        <v>4516552522501</v>
      </c>
      <c r="H66" t="s">
        <v>19</v>
      </c>
      <c r="I66" t="s">
        <v>77</v>
      </c>
      <c r="L66">
        <v>65000</v>
      </c>
      <c r="M66" s="2">
        <v>0.1</v>
      </c>
      <c r="N66">
        <f t="shared" si="0"/>
        <v>71500</v>
      </c>
    </row>
    <row r="67" spans="6:14" x14ac:dyDescent="0.55000000000000004">
      <c r="F67">
        <v>1000</v>
      </c>
      <c r="G67" s="1">
        <v>4516552506413</v>
      </c>
      <c r="H67" t="s">
        <v>19</v>
      </c>
      <c r="I67" t="s">
        <v>78</v>
      </c>
      <c r="L67">
        <v>66000</v>
      </c>
      <c r="M67" s="2">
        <v>0.1</v>
      </c>
      <c r="N67">
        <f t="shared" ref="N67:N111" si="1">IF(G67&gt;=1,ROUNDUP(L67*M67,0)+L67,"")</f>
        <v>72600</v>
      </c>
    </row>
    <row r="68" spans="6:14" x14ac:dyDescent="0.55000000000000004">
      <c r="F68">
        <v>1000</v>
      </c>
      <c r="G68" s="1">
        <v>4516552522652</v>
      </c>
      <c r="H68" t="s">
        <v>19</v>
      </c>
      <c r="I68" t="s">
        <v>79</v>
      </c>
      <c r="L68">
        <v>67000</v>
      </c>
      <c r="M68" s="2">
        <v>0.1</v>
      </c>
      <c r="N68">
        <f t="shared" si="1"/>
        <v>73700</v>
      </c>
    </row>
    <row r="69" spans="6:14" x14ac:dyDescent="0.55000000000000004">
      <c r="F69">
        <v>1000</v>
      </c>
      <c r="G69" s="1">
        <v>4516552520233</v>
      </c>
      <c r="H69" t="s">
        <v>19</v>
      </c>
      <c r="I69" t="s">
        <v>80</v>
      </c>
      <c r="L69">
        <v>68000</v>
      </c>
      <c r="M69" s="2">
        <v>0.1</v>
      </c>
      <c r="N69">
        <f t="shared" si="1"/>
        <v>74800</v>
      </c>
    </row>
    <row r="70" spans="6:14" x14ac:dyDescent="0.55000000000000004">
      <c r="F70">
        <v>1000</v>
      </c>
      <c r="G70" s="1">
        <v>4516552024604</v>
      </c>
      <c r="H70" t="s">
        <v>19</v>
      </c>
      <c r="I70" t="s">
        <v>81</v>
      </c>
      <c r="L70">
        <v>69000</v>
      </c>
      <c r="M70" s="2">
        <v>0.1</v>
      </c>
      <c r="N70">
        <f t="shared" si="1"/>
        <v>75900</v>
      </c>
    </row>
    <row r="71" spans="6:14" x14ac:dyDescent="0.55000000000000004">
      <c r="F71">
        <v>1000</v>
      </c>
      <c r="G71" s="1">
        <v>4516552203564</v>
      </c>
      <c r="H71" t="s">
        <v>19</v>
      </c>
      <c r="I71" t="s">
        <v>82</v>
      </c>
      <c r="L71">
        <v>70000</v>
      </c>
      <c r="M71" s="2">
        <v>0.1</v>
      </c>
      <c r="N71">
        <f t="shared" si="1"/>
        <v>77000</v>
      </c>
    </row>
    <row r="72" spans="6:14" x14ac:dyDescent="0.55000000000000004">
      <c r="F72">
        <v>1000</v>
      </c>
      <c r="G72" s="1">
        <v>4516552506655</v>
      </c>
      <c r="H72" t="s">
        <v>19</v>
      </c>
      <c r="I72" t="s">
        <v>83</v>
      </c>
      <c r="L72">
        <v>71000</v>
      </c>
      <c r="M72" s="2">
        <v>0.1</v>
      </c>
      <c r="N72">
        <f t="shared" si="1"/>
        <v>78100</v>
      </c>
    </row>
    <row r="73" spans="6:14" x14ac:dyDescent="0.55000000000000004">
      <c r="F73">
        <v>1000</v>
      </c>
      <c r="G73" s="1">
        <v>4516552201522</v>
      </c>
      <c r="H73" t="s">
        <v>19</v>
      </c>
      <c r="I73" t="s">
        <v>84</v>
      </c>
      <c r="L73">
        <v>72000</v>
      </c>
      <c r="M73" s="2">
        <v>0.1</v>
      </c>
      <c r="N73">
        <f t="shared" si="1"/>
        <v>79200</v>
      </c>
    </row>
    <row r="74" spans="6:14" x14ac:dyDescent="0.55000000000000004">
      <c r="F74">
        <v>1000</v>
      </c>
      <c r="G74" s="1">
        <v>4516552024532</v>
      </c>
      <c r="H74" t="s">
        <v>19</v>
      </c>
      <c r="I74" t="s">
        <v>85</v>
      </c>
      <c r="L74">
        <v>73000</v>
      </c>
      <c r="M74" s="2">
        <v>0.1</v>
      </c>
      <c r="N74">
        <f t="shared" si="1"/>
        <v>80300</v>
      </c>
    </row>
    <row r="75" spans="6:14" x14ac:dyDescent="0.55000000000000004">
      <c r="F75">
        <v>1000</v>
      </c>
      <c r="G75" s="1">
        <v>4516552025551</v>
      </c>
      <c r="H75" t="s">
        <v>19</v>
      </c>
      <c r="I75" t="s">
        <v>86</v>
      </c>
      <c r="L75">
        <v>74000</v>
      </c>
      <c r="M75" s="2">
        <v>0.1</v>
      </c>
      <c r="N75">
        <f t="shared" si="1"/>
        <v>81400</v>
      </c>
    </row>
    <row r="76" spans="6:14" x14ac:dyDescent="0.55000000000000004">
      <c r="F76">
        <v>1000</v>
      </c>
      <c r="G76" s="1">
        <v>4516552025223</v>
      </c>
      <c r="H76" t="s">
        <v>19</v>
      </c>
      <c r="I76" t="s">
        <v>87</v>
      </c>
      <c r="L76">
        <v>75000</v>
      </c>
      <c r="M76" s="2">
        <v>0.1</v>
      </c>
      <c r="N76">
        <f t="shared" si="1"/>
        <v>82500</v>
      </c>
    </row>
    <row r="77" spans="6:14" x14ac:dyDescent="0.55000000000000004">
      <c r="F77">
        <v>1000</v>
      </c>
      <c r="G77" s="1">
        <v>4516552024635</v>
      </c>
      <c r="H77" t="s">
        <v>19</v>
      </c>
      <c r="I77" t="s">
        <v>88</v>
      </c>
      <c r="L77">
        <v>76000</v>
      </c>
      <c r="M77" s="2">
        <v>0.1</v>
      </c>
      <c r="N77">
        <f t="shared" si="1"/>
        <v>83600</v>
      </c>
    </row>
    <row r="78" spans="6:14" x14ac:dyDescent="0.55000000000000004">
      <c r="F78">
        <v>1000</v>
      </c>
      <c r="G78" s="1">
        <v>4516552220244</v>
      </c>
      <c r="H78" t="s">
        <v>19</v>
      </c>
      <c r="I78" t="s">
        <v>89</v>
      </c>
      <c r="L78">
        <v>77000</v>
      </c>
      <c r="M78" s="2">
        <v>0.1</v>
      </c>
      <c r="N78">
        <f t="shared" si="1"/>
        <v>84700</v>
      </c>
    </row>
    <row r="79" spans="6:14" x14ac:dyDescent="0.55000000000000004">
      <c r="F79">
        <v>1000</v>
      </c>
      <c r="G79" s="1">
        <v>4516552203588</v>
      </c>
      <c r="H79" t="s">
        <v>19</v>
      </c>
      <c r="I79" t="s">
        <v>90</v>
      </c>
      <c r="L79">
        <v>78000</v>
      </c>
      <c r="M79" s="2">
        <v>0.1</v>
      </c>
      <c r="N79">
        <f t="shared" si="1"/>
        <v>85800</v>
      </c>
    </row>
    <row r="80" spans="6:14" x14ac:dyDescent="0.55000000000000004">
      <c r="F80">
        <v>1000</v>
      </c>
      <c r="G80" s="1">
        <v>4516552203555</v>
      </c>
      <c r="H80" t="s">
        <v>19</v>
      </c>
      <c r="I80" t="s">
        <v>91</v>
      </c>
      <c r="L80">
        <v>79000</v>
      </c>
      <c r="M80" s="2">
        <v>0.1</v>
      </c>
      <c r="N80">
        <f t="shared" si="1"/>
        <v>86900</v>
      </c>
    </row>
    <row r="81" spans="6:14" x14ac:dyDescent="0.55000000000000004">
      <c r="F81">
        <v>1000</v>
      </c>
      <c r="G81" s="1">
        <v>4516552002205</v>
      </c>
      <c r="H81" t="s">
        <v>19</v>
      </c>
      <c r="I81" t="s">
        <v>92</v>
      </c>
      <c r="L81">
        <v>80000</v>
      </c>
      <c r="M81" s="2">
        <v>0.1</v>
      </c>
      <c r="N81">
        <f t="shared" si="1"/>
        <v>88000</v>
      </c>
    </row>
    <row r="82" spans="6:14" x14ac:dyDescent="0.55000000000000004">
      <c r="F82">
        <v>1000</v>
      </c>
      <c r="G82" s="1">
        <v>4516552522550</v>
      </c>
      <c r="H82" t="s">
        <v>19</v>
      </c>
      <c r="I82" t="s">
        <v>93</v>
      </c>
      <c r="L82">
        <v>81000</v>
      </c>
      <c r="M82" s="2">
        <v>0.1</v>
      </c>
      <c r="N82">
        <f t="shared" si="1"/>
        <v>89100</v>
      </c>
    </row>
    <row r="83" spans="6:14" x14ac:dyDescent="0.55000000000000004">
      <c r="F83">
        <v>1000</v>
      </c>
      <c r="G83" s="1">
        <v>4516552208118</v>
      </c>
      <c r="H83" t="s">
        <v>19</v>
      </c>
      <c r="I83" t="s">
        <v>94</v>
      </c>
      <c r="L83">
        <v>82000</v>
      </c>
      <c r="M83" s="2">
        <v>0.1</v>
      </c>
      <c r="N83">
        <f t="shared" si="1"/>
        <v>90200</v>
      </c>
    </row>
    <row r="84" spans="6:14" x14ac:dyDescent="0.55000000000000004">
      <c r="F84">
        <v>1000</v>
      </c>
      <c r="G84" s="1">
        <v>4516552001565</v>
      </c>
      <c r="H84" t="s">
        <v>19</v>
      </c>
      <c r="I84" t="s">
        <v>95</v>
      </c>
      <c r="L84">
        <v>83000</v>
      </c>
      <c r="M84" s="2">
        <v>0.1</v>
      </c>
      <c r="N84">
        <f t="shared" si="1"/>
        <v>91300</v>
      </c>
    </row>
    <row r="85" spans="6:14" x14ac:dyDescent="0.55000000000000004">
      <c r="F85">
        <v>1000</v>
      </c>
      <c r="G85" s="1">
        <v>4516552025220</v>
      </c>
      <c r="H85" t="s">
        <v>19</v>
      </c>
      <c r="I85" t="s">
        <v>96</v>
      </c>
      <c r="L85">
        <v>84000</v>
      </c>
      <c r="M85" s="2">
        <v>0.1</v>
      </c>
      <c r="N85">
        <f t="shared" si="1"/>
        <v>92400</v>
      </c>
    </row>
    <row r="86" spans="6:14" x14ac:dyDescent="0.55000000000000004">
      <c r="F86">
        <v>1000</v>
      </c>
      <c r="G86" s="1">
        <v>4516552203525</v>
      </c>
      <c r="H86" t="s">
        <v>19</v>
      </c>
      <c r="I86" t="s">
        <v>97</v>
      </c>
      <c r="L86">
        <v>85000</v>
      </c>
      <c r="M86" s="2">
        <v>0.1</v>
      </c>
      <c r="N86">
        <f t="shared" si="1"/>
        <v>93500</v>
      </c>
    </row>
    <row r="87" spans="6:14" x14ac:dyDescent="0.55000000000000004">
      <c r="F87">
        <v>1000</v>
      </c>
      <c r="G87" s="1">
        <v>4516552522136</v>
      </c>
      <c r="H87" t="s">
        <v>19</v>
      </c>
      <c r="I87" t="s">
        <v>98</v>
      </c>
      <c r="L87">
        <v>86000</v>
      </c>
      <c r="M87" s="2">
        <v>0.1</v>
      </c>
      <c r="N87">
        <f t="shared" si="1"/>
        <v>94600</v>
      </c>
    </row>
    <row r="88" spans="6:14" x14ac:dyDescent="0.55000000000000004">
      <c r="F88">
        <v>1000</v>
      </c>
      <c r="G88" s="1">
        <v>4516552208846</v>
      </c>
      <c r="H88" t="s">
        <v>19</v>
      </c>
      <c r="I88" t="s">
        <v>99</v>
      </c>
      <c r="L88">
        <v>87000</v>
      </c>
      <c r="M88" s="2">
        <v>0.1</v>
      </c>
      <c r="N88">
        <f t="shared" si="1"/>
        <v>95700</v>
      </c>
    </row>
    <row r="89" spans="6:14" x14ac:dyDescent="0.55000000000000004">
      <c r="F89">
        <v>1000</v>
      </c>
      <c r="G89" s="1">
        <v>4516552001623</v>
      </c>
      <c r="H89" t="s">
        <v>19</v>
      </c>
      <c r="I89" t="s">
        <v>100</v>
      </c>
      <c r="L89">
        <v>88000</v>
      </c>
      <c r="M89" s="2">
        <v>0.1</v>
      </c>
      <c r="N89">
        <f t="shared" si="1"/>
        <v>96800</v>
      </c>
    </row>
    <row r="90" spans="6:14" x14ac:dyDescent="0.55000000000000004">
      <c r="F90">
        <v>1000</v>
      </c>
      <c r="G90" s="1">
        <v>4516552023616</v>
      </c>
      <c r="H90" t="s">
        <v>19</v>
      </c>
      <c r="I90" t="s">
        <v>101</v>
      </c>
      <c r="L90">
        <v>89000</v>
      </c>
      <c r="M90" s="2">
        <v>0.1</v>
      </c>
      <c r="N90">
        <f t="shared" si="1"/>
        <v>97900</v>
      </c>
    </row>
    <row r="91" spans="6:14" x14ac:dyDescent="0.55000000000000004">
      <c r="F91">
        <v>1000</v>
      </c>
      <c r="G91" s="1">
        <v>4516552000551</v>
      </c>
      <c r="H91" t="s">
        <v>19</v>
      </c>
      <c r="I91" t="s">
        <v>102</v>
      </c>
      <c r="L91">
        <v>90000</v>
      </c>
      <c r="M91" s="2">
        <v>0.1</v>
      </c>
      <c r="N91">
        <f t="shared" si="1"/>
        <v>99000</v>
      </c>
    </row>
    <row r="92" spans="6:14" x14ac:dyDescent="0.55000000000000004">
      <c r="F92">
        <v>1000</v>
      </c>
      <c r="G92" s="1">
        <v>4516552220222</v>
      </c>
      <c r="H92" t="s">
        <v>19</v>
      </c>
      <c r="I92" t="s">
        <v>103</v>
      </c>
      <c r="L92">
        <v>91000</v>
      </c>
      <c r="M92" s="2">
        <v>0.1</v>
      </c>
      <c r="N92">
        <f t="shared" si="1"/>
        <v>100100</v>
      </c>
    </row>
    <row r="93" spans="6:14" x14ac:dyDescent="0.55000000000000004">
      <c r="F93">
        <v>1000</v>
      </c>
      <c r="G93" s="1">
        <v>4516552203104</v>
      </c>
      <c r="H93" t="s">
        <v>19</v>
      </c>
      <c r="I93" t="s">
        <v>104</v>
      </c>
      <c r="L93">
        <v>92000</v>
      </c>
      <c r="M93" s="2">
        <v>0.1</v>
      </c>
      <c r="N93">
        <f t="shared" si="1"/>
        <v>101200</v>
      </c>
    </row>
    <row r="94" spans="6:14" x14ac:dyDescent="0.55000000000000004">
      <c r="F94">
        <v>1000</v>
      </c>
      <c r="G94" s="1">
        <v>4516552203122</v>
      </c>
      <c r="H94" t="s">
        <v>19</v>
      </c>
      <c r="I94" t="s">
        <v>105</v>
      </c>
      <c r="L94">
        <v>93000</v>
      </c>
      <c r="M94" s="2">
        <v>0.1</v>
      </c>
      <c r="N94">
        <f t="shared" si="1"/>
        <v>102300</v>
      </c>
    </row>
    <row r="95" spans="6:14" x14ac:dyDescent="0.55000000000000004">
      <c r="F95">
        <v>1000</v>
      </c>
      <c r="G95" s="1">
        <v>4516552203658</v>
      </c>
      <c r="H95" t="s">
        <v>19</v>
      </c>
      <c r="I95" t="s">
        <v>106</v>
      </c>
      <c r="L95">
        <v>94000</v>
      </c>
      <c r="M95" s="2">
        <v>0.1</v>
      </c>
      <c r="N95">
        <f t="shared" si="1"/>
        <v>103400</v>
      </c>
    </row>
    <row r="96" spans="6:14" x14ac:dyDescent="0.55000000000000004">
      <c r="F96">
        <v>1000</v>
      </c>
      <c r="G96" s="1">
        <v>4516552220201</v>
      </c>
      <c r="H96" t="s">
        <v>19</v>
      </c>
      <c r="I96" t="s">
        <v>107</v>
      </c>
      <c r="L96">
        <v>95000</v>
      </c>
      <c r="M96" s="2">
        <v>0.1</v>
      </c>
      <c r="N96">
        <f t="shared" si="1"/>
        <v>104500</v>
      </c>
    </row>
    <row r="97" spans="6:14" x14ac:dyDescent="0.55000000000000004">
      <c r="F97">
        <v>1000</v>
      </c>
      <c r="G97" s="1">
        <v>4516552203885</v>
      </c>
      <c r="H97" t="s">
        <v>19</v>
      </c>
      <c r="I97" t="s">
        <v>108</v>
      </c>
      <c r="L97">
        <v>96000</v>
      </c>
      <c r="M97" s="2">
        <v>0.1</v>
      </c>
      <c r="N97">
        <f t="shared" si="1"/>
        <v>105600</v>
      </c>
    </row>
    <row r="98" spans="6:14" x14ac:dyDescent="0.55000000000000004">
      <c r="F98">
        <v>1000</v>
      </c>
      <c r="G98" s="1">
        <v>4516552522484</v>
      </c>
      <c r="H98" t="s">
        <v>19</v>
      </c>
      <c r="I98" t="s">
        <v>109</v>
      </c>
      <c r="L98">
        <v>97000</v>
      </c>
      <c r="M98" s="2">
        <v>0.1</v>
      </c>
      <c r="N98">
        <f t="shared" si="1"/>
        <v>106700</v>
      </c>
    </row>
    <row r="99" spans="6:14" x14ac:dyDescent="0.55000000000000004">
      <c r="F99">
        <v>1000</v>
      </c>
      <c r="G99" s="1">
        <v>4516552208126</v>
      </c>
      <c r="H99" t="s">
        <v>19</v>
      </c>
      <c r="I99" t="s">
        <v>110</v>
      </c>
      <c r="L99">
        <v>98000</v>
      </c>
      <c r="M99" s="2">
        <v>0.1</v>
      </c>
      <c r="N99">
        <f t="shared" si="1"/>
        <v>107800</v>
      </c>
    </row>
    <row r="100" spans="6:14" x14ac:dyDescent="0.55000000000000004">
      <c r="F100">
        <v>1000</v>
      </c>
      <c r="G100" s="1">
        <v>4516552001452</v>
      </c>
      <c r="H100" t="s">
        <v>19</v>
      </c>
      <c r="I100" t="s">
        <v>111</v>
      </c>
      <c r="L100">
        <v>99000</v>
      </c>
      <c r="M100" s="2">
        <v>0.1</v>
      </c>
      <c r="N100">
        <f t="shared" si="1"/>
        <v>108900</v>
      </c>
    </row>
    <row r="101" spans="6:14" x14ac:dyDescent="0.55000000000000004">
      <c r="F101">
        <v>1000</v>
      </c>
      <c r="G101" s="1">
        <v>4516552024563</v>
      </c>
      <c r="H101" t="s">
        <v>19</v>
      </c>
      <c r="I101" t="s">
        <v>112</v>
      </c>
      <c r="L101">
        <v>100000</v>
      </c>
      <c r="M101" s="2">
        <v>0.1</v>
      </c>
      <c r="N101">
        <f t="shared" si="1"/>
        <v>110000</v>
      </c>
    </row>
    <row r="102" spans="6:14" x14ac:dyDescent="0.55000000000000004">
      <c r="F102">
        <v>1000</v>
      </c>
      <c r="G102" s="1">
        <v>4516552025250</v>
      </c>
      <c r="H102" t="s">
        <v>19</v>
      </c>
      <c r="I102" t="s">
        <v>113</v>
      </c>
      <c r="L102">
        <v>101000</v>
      </c>
      <c r="M102" s="2">
        <v>0.1</v>
      </c>
      <c r="N102">
        <f t="shared" si="1"/>
        <v>111100</v>
      </c>
    </row>
    <row r="103" spans="6:14" x14ac:dyDescent="0.55000000000000004">
      <c r="F103">
        <v>1000</v>
      </c>
      <c r="G103" s="1">
        <v>4516552203564</v>
      </c>
      <c r="H103" t="s">
        <v>19</v>
      </c>
      <c r="I103" t="s">
        <v>114</v>
      </c>
      <c r="L103">
        <v>102000</v>
      </c>
      <c r="M103" s="2">
        <v>0.1</v>
      </c>
      <c r="N103">
        <f t="shared" si="1"/>
        <v>112200</v>
      </c>
    </row>
    <row r="104" spans="6:14" x14ac:dyDescent="0.55000000000000004">
      <c r="F104">
        <v>1000</v>
      </c>
      <c r="G104" s="1">
        <v>4516552234082</v>
      </c>
      <c r="H104" t="s">
        <v>19</v>
      </c>
      <c r="I104" t="s">
        <v>115</v>
      </c>
      <c r="L104">
        <v>103000</v>
      </c>
      <c r="M104" s="2">
        <v>0.1</v>
      </c>
      <c r="N104">
        <f t="shared" si="1"/>
        <v>113300</v>
      </c>
    </row>
    <row r="105" spans="6:14" x14ac:dyDescent="0.55000000000000004">
      <c r="F105">
        <v>1000</v>
      </c>
      <c r="G105" s="1">
        <v>4516552234014</v>
      </c>
      <c r="H105" t="s">
        <v>19</v>
      </c>
      <c r="I105" t="s">
        <v>116</v>
      </c>
      <c r="L105">
        <v>104000</v>
      </c>
      <c r="M105" s="2">
        <v>0.1</v>
      </c>
      <c r="N105">
        <f t="shared" si="1"/>
        <v>114400</v>
      </c>
    </row>
    <row r="106" spans="6:14" x14ac:dyDescent="0.55000000000000004">
      <c r="F106">
        <v>1000</v>
      </c>
      <c r="G106" s="1">
        <v>4516552204025</v>
      </c>
      <c r="H106" t="s">
        <v>19</v>
      </c>
      <c r="I106" t="s">
        <v>117</v>
      </c>
      <c r="L106">
        <v>105000</v>
      </c>
      <c r="M106" s="2">
        <v>0.1</v>
      </c>
      <c r="N106">
        <f t="shared" si="1"/>
        <v>115500</v>
      </c>
    </row>
    <row r="107" spans="6:14" x14ac:dyDescent="0.55000000000000004">
      <c r="F107">
        <v>1000</v>
      </c>
      <c r="G107" s="1">
        <v>4516552204008</v>
      </c>
      <c r="H107" t="s">
        <v>19</v>
      </c>
      <c r="I107" t="s">
        <v>118</v>
      </c>
      <c r="L107">
        <v>106000</v>
      </c>
      <c r="M107" s="2">
        <v>0.1</v>
      </c>
      <c r="N107">
        <f t="shared" si="1"/>
        <v>116600</v>
      </c>
    </row>
    <row r="108" spans="6:14" x14ac:dyDescent="0.55000000000000004">
      <c r="F108">
        <v>1000</v>
      </c>
      <c r="G108" s="1">
        <v>4516552200021</v>
      </c>
      <c r="H108" t="s">
        <v>19</v>
      </c>
      <c r="I108" t="s">
        <v>119</v>
      </c>
      <c r="L108">
        <v>107000</v>
      </c>
      <c r="M108" s="2">
        <v>0.1</v>
      </c>
      <c r="N108">
        <f t="shared" si="1"/>
        <v>117700</v>
      </c>
    </row>
    <row r="109" spans="6:14" x14ac:dyDescent="0.55000000000000004">
      <c r="F109">
        <v>1000</v>
      </c>
      <c r="G109" s="1">
        <v>4516552000315</v>
      </c>
      <c r="H109" t="s">
        <v>19</v>
      </c>
      <c r="I109" t="s">
        <v>120</v>
      </c>
      <c r="L109">
        <v>108000</v>
      </c>
      <c r="M109" s="2">
        <v>0.1</v>
      </c>
      <c r="N109">
        <f t="shared" si="1"/>
        <v>118800</v>
      </c>
    </row>
    <row r="110" spans="6:14" x14ac:dyDescent="0.55000000000000004">
      <c r="F110">
        <v>1000</v>
      </c>
      <c r="G110" s="1">
        <v>4516552000650</v>
      </c>
      <c r="H110" t="s">
        <v>19</v>
      </c>
      <c r="I110" t="s">
        <v>121</v>
      </c>
      <c r="L110">
        <v>109000</v>
      </c>
      <c r="M110" s="2">
        <v>0.1</v>
      </c>
      <c r="N110">
        <f t="shared" si="1"/>
        <v>119900</v>
      </c>
    </row>
    <row r="111" spans="6:14" x14ac:dyDescent="0.55000000000000004">
      <c r="F111">
        <v>1000</v>
      </c>
      <c r="G111" s="1">
        <v>4516552220244</v>
      </c>
      <c r="H111" t="s">
        <v>19</v>
      </c>
      <c r="I111" t="s">
        <v>89</v>
      </c>
      <c r="L111">
        <v>110000</v>
      </c>
      <c r="M111" s="2">
        <v>0.1</v>
      </c>
      <c r="N111">
        <f t="shared" si="1"/>
        <v>121000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B3C9-C57D-4CCC-BCF6-BFA97B7D9AF6}">
  <dimension ref="A1:AC601"/>
  <sheetViews>
    <sheetView topLeftCell="M1" zoomScaleNormal="100" workbookViewId="0">
      <pane ySplit="1" topLeftCell="A2" activePane="bottomLeft" state="frozen"/>
      <selection activeCell="E1" sqref="E1"/>
      <selection pane="bottomLeft" activeCell="T1" sqref="T1:AB1"/>
    </sheetView>
  </sheetViews>
  <sheetFormatPr defaultRowHeight="18" x14ac:dyDescent="0.55000000000000004"/>
  <cols>
    <col min="2" max="2" width="15.58203125" bestFit="1" customWidth="1"/>
    <col min="4" max="4" width="15.33203125" style="1" bestFit="1" customWidth="1"/>
    <col min="6" max="6" width="49.1640625" bestFit="1" customWidth="1"/>
  </cols>
  <sheetData>
    <row r="1" spans="1:29" x14ac:dyDescent="0.55000000000000004">
      <c r="A1" t="s">
        <v>8</v>
      </c>
      <c r="B1" s="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127</v>
      </c>
      <c r="K1" t="s">
        <v>128</v>
      </c>
      <c r="L1" t="s">
        <v>125</v>
      </c>
      <c r="M1" s="4" t="s">
        <v>139</v>
      </c>
      <c r="N1" s="4" t="s">
        <v>130</v>
      </c>
      <c r="O1" s="4" t="s">
        <v>131</v>
      </c>
      <c r="P1" s="4"/>
      <c r="Q1" s="4" t="s">
        <v>140</v>
      </c>
      <c r="R1" s="4" t="s">
        <v>141</v>
      </c>
      <c r="S1" s="4"/>
      <c r="T1" s="5" t="s">
        <v>143</v>
      </c>
      <c r="U1" s="5" t="s">
        <v>143</v>
      </c>
      <c r="V1" s="5" t="s">
        <v>143</v>
      </c>
      <c r="W1" s="5" t="s">
        <v>143</v>
      </c>
      <c r="X1" s="5" t="s">
        <v>143</v>
      </c>
      <c r="Y1" s="5" t="s">
        <v>143</v>
      </c>
      <c r="Z1" s="5" t="s">
        <v>143</v>
      </c>
      <c r="AA1" s="5" t="s">
        <v>143</v>
      </c>
      <c r="AB1" s="5" t="s">
        <v>143</v>
      </c>
      <c r="AC1" s="6" t="s">
        <v>142</v>
      </c>
    </row>
    <row r="2" spans="1:29" x14ac:dyDescent="0.55000000000000004">
      <c r="A2" t="s">
        <v>9</v>
      </c>
      <c r="B2" t="str">
        <f>貼付!$G$2&amp;マスタ登録抽出!A2</f>
        <v>4516552522125-1</v>
      </c>
      <c r="C2">
        <f>貼付!F2</f>
        <v>1000</v>
      </c>
      <c r="D2" s="1">
        <f>貼付!$G$2</f>
        <v>4516552522125</v>
      </c>
      <c r="F2" t="str">
        <f>貼付!$I$2&amp;"  "&amp;マスタ登録抽出!AC2&amp;貼付!$A$2</f>
        <v>かもす 温泉豆乳ﾎﾞﾃﾞｨｿｰﾌﾟ  18L  1個</v>
      </c>
      <c r="I2">
        <f>貼付!$L$2*AC2</f>
        <v>1000</v>
      </c>
      <c r="K2">
        <f>IF(D2&gt;=1,ROUNDUP(I2*J2,0)+I2,"")</f>
        <v>1000</v>
      </c>
      <c r="L2">
        <v>500</v>
      </c>
      <c r="M2">
        <v>2000</v>
      </c>
      <c r="AC2">
        <v>1</v>
      </c>
    </row>
    <row r="3" spans="1:29" x14ac:dyDescent="0.55000000000000004">
      <c r="A3" t="s">
        <v>10</v>
      </c>
      <c r="B3" t="str">
        <f>貼付!$G$2&amp;マスタ登録抽出!A3</f>
        <v>4516552522125-2</v>
      </c>
      <c r="C3">
        <f>貼付!F3</f>
        <v>1000</v>
      </c>
      <c r="D3" s="1">
        <f>貼付!$G$2</f>
        <v>4516552522125</v>
      </c>
      <c r="F3" t="str">
        <f>貼付!$I$2&amp;"  "&amp;マスタ登録抽出!AC3&amp;貼付!$A$2</f>
        <v>かもす 温泉豆乳ﾎﾞﾃﾞｨｿｰﾌﾟ  18L  2個</v>
      </c>
      <c r="I3">
        <f>貼付!$L$2*AC3</f>
        <v>2000</v>
      </c>
      <c r="K3">
        <f>IF(D3&gt;=1,ROUNDUP(I3*J3,0)+I3,"")</f>
        <v>2000</v>
      </c>
      <c r="L3">
        <v>1000</v>
      </c>
      <c r="M3">
        <v>3600</v>
      </c>
      <c r="AC3">
        <v>2</v>
      </c>
    </row>
    <row r="4" spans="1:29" x14ac:dyDescent="0.55000000000000004">
      <c r="A4" t="s">
        <v>11</v>
      </c>
      <c r="B4" t="str">
        <f>貼付!$G$2&amp;マスタ登録抽出!A4</f>
        <v>4516552522125-3</v>
      </c>
      <c r="C4">
        <f>貼付!F4</f>
        <v>1000</v>
      </c>
      <c r="D4" s="1">
        <f>貼付!$G$2</f>
        <v>4516552522125</v>
      </c>
      <c r="F4" t="str">
        <f>貼付!$I$2&amp;"  "&amp;マスタ登録抽出!AC4&amp;貼付!$A$2</f>
        <v>かもす 温泉豆乳ﾎﾞﾃﾞｨｿｰﾌﾟ  18L  3個</v>
      </c>
      <c r="I4">
        <f>貼付!$L$2*AC4</f>
        <v>3000</v>
      </c>
      <c r="K4">
        <f t="shared" ref="K4:K31" si="0">IF(D4&gt;=1,ROUNDUP(I4*J4,0)+I4,"")</f>
        <v>3000</v>
      </c>
      <c r="L4">
        <v>1500</v>
      </c>
      <c r="AC4">
        <v>3</v>
      </c>
    </row>
    <row r="5" spans="1:29" x14ac:dyDescent="0.55000000000000004">
      <c r="A5" t="s">
        <v>12</v>
      </c>
      <c r="B5" t="str">
        <f>貼付!$G$2&amp;マスタ登録抽出!A5</f>
        <v>4516552522125-4</v>
      </c>
      <c r="C5">
        <f>貼付!F5</f>
        <v>1000</v>
      </c>
      <c r="D5" s="1">
        <f>貼付!$G$2</f>
        <v>4516552522125</v>
      </c>
      <c r="F5" t="str">
        <f>貼付!$I$2&amp;"  "&amp;マスタ登録抽出!AC5&amp;貼付!$A$2</f>
        <v>かもす 温泉豆乳ﾎﾞﾃﾞｨｿｰﾌﾟ  18L  4個</v>
      </c>
      <c r="I5">
        <f>貼付!$L$2*AC5</f>
        <v>4000</v>
      </c>
      <c r="K5">
        <f t="shared" si="0"/>
        <v>4000</v>
      </c>
      <c r="L5">
        <v>2000</v>
      </c>
      <c r="AC5">
        <v>4</v>
      </c>
    </row>
    <row r="6" spans="1:29" x14ac:dyDescent="0.55000000000000004">
      <c r="A6" t="s">
        <v>13</v>
      </c>
      <c r="B6" t="str">
        <f>貼付!$G$2&amp;マスタ登録抽出!A6</f>
        <v>4516552522125-5</v>
      </c>
      <c r="C6">
        <f>貼付!F6</f>
        <v>1000</v>
      </c>
      <c r="D6" s="1">
        <f>貼付!$G$2</f>
        <v>4516552522125</v>
      </c>
      <c r="F6" t="str">
        <f>貼付!$I$2&amp;"  "&amp;マスタ登録抽出!AC6&amp;貼付!$A$2</f>
        <v>かもす 温泉豆乳ﾎﾞﾃﾞｨｿｰﾌﾟ  18L  5個</v>
      </c>
      <c r="I6">
        <f>貼付!$L$2*AC6</f>
        <v>5000</v>
      </c>
      <c r="K6">
        <f t="shared" si="0"/>
        <v>5000</v>
      </c>
      <c r="L6">
        <v>2500</v>
      </c>
      <c r="AC6">
        <v>5</v>
      </c>
    </row>
    <row r="7" spans="1:29" x14ac:dyDescent="0.55000000000000004">
      <c r="A7" t="s">
        <v>14</v>
      </c>
      <c r="B7" t="str">
        <f>貼付!$G$2&amp;マスタ登録抽出!A7</f>
        <v>4516552522125-6</v>
      </c>
      <c r="C7">
        <f>貼付!F7</f>
        <v>1000</v>
      </c>
      <c r="D7" s="1">
        <f>貼付!$G$2</f>
        <v>4516552522125</v>
      </c>
      <c r="F7" t="str">
        <f>貼付!$I$2&amp;"  "&amp;マスタ登録抽出!AC7&amp;貼付!$A$2</f>
        <v>かもす 温泉豆乳ﾎﾞﾃﾞｨｿｰﾌﾟ  18L  6個</v>
      </c>
      <c r="I7">
        <f>貼付!$L$2*AC7</f>
        <v>6000</v>
      </c>
      <c r="K7">
        <f t="shared" si="0"/>
        <v>6000</v>
      </c>
      <c r="L7">
        <v>3000</v>
      </c>
      <c r="AC7">
        <v>6</v>
      </c>
    </row>
    <row r="8" spans="1:29" x14ac:dyDescent="0.55000000000000004">
      <c r="A8" t="s">
        <v>15</v>
      </c>
      <c r="B8" t="str">
        <f>貼付!$G$2&amp;マスタ登録抽出!A8</f>
        <v>4516552522125-7</v>
      </c>
      <c r="C8">
        <f>貼付!F8</f>
        <v>1000</v>
      </c>
      <c r="D8" s="1">
        <f>貼付!$G$2</f>
        <v>4516552522125</v>
      </c>
      <c r="F8" t="str">
        <f>貼付!$I$2&amp;"  "&amp;マスタ登録抽出!AC8&amp;貼付!$A$2</f>
        <v>かもす 温泉豆乳ﾎﾞﾃﾞｨｿｰﾌﾟ  18L  7個</v>
      </c>
      <c r="I8">
        <f>貼付!$L$2*AC8</f>
        <v>7000</v>
      </c>
      <c r="K8">
        <f t="shared" si="0"/>
        <v>7000</v>
      </c>
      <c r="L8">
        <v>3500</v>
      </c>
      <c r="AC8">
        <v>7</v>
      </c>
    </row>
    <row r="9" spans="1:29" x14ac:dyDescent="0.55000000000000004">
      <c r="A9" t="s">
        <v>16</v>
      </c>
      <c r="B9" t="str">
        <f>貼付!$G$2&amp;マスタ登録抽出!A9</f>
        <v>4516552522125-8</v>
      </c>
      <c r="C9">
        <f>貼付!F9</f>
        <v>1000</v>
      </c>
      <c r="D9" s="1">
        <f>貼付!$G$2</f>
        <v>4516552522125</v>
      </c>
      <c r="F9" t="str">
        <f>貼付!$I$2&amp;"  "&amp;マスタ登録抽出!AC9&amp;貼付!$A$2</f>
        <v>かもす 温泉豆乳ﾎﾞﾃﾞｨｿｰﾌﾟ  18L  8個</v>
      </c>
      <c r="I9">
        <f>貼付!$L$2*AC9</f>
        <v>8000</v>
      </c>
      <c r="K9">
        <f t="shared" si="0"/>
        <v>8000</v>
      </c>
      <c r="L9">
        <v>4000</v>
      </c>
      <c r="AC9">
        <v>8</v>
      </c>
    </row>
    <row r="10" spans="1:29" x14ac:dyDescent="0.55000000000000004">
      <c r="A10" t="s">
        <v>17</v>
      </c>
      <c r="B10" t="str">
        <f>貼付!$G$2&amp;マスタ登録抽出!A10</f>
        <v>4516552522125-9</v>
      </c>
      <c r="C10">
        <f>貼付!F10</f>
        <v>1000</v>
      </c>
      <c r="D10" s="1">
        <f>貼付!$G$2</f>
        <v>4516552522125</v>
      </c>
      <c r="F10" t="str">
        <f>貼付!$I$2&amp;"  "&amp;マスタ登録抽出!AC10&amp;貼付!$A$2</f>
        <v>かもす 温泉豆乳ﾎﾞﾃﾞｨｿｰﾌﾟ  18L  9個</v>
      </c>
      <c r="I10">
        <f>貼付!$L$2*AC10</f>
        <v>9000</v>
      </c>
      <c r="K10">
        <f t="shared" si="0"/>
        <v>9000</v>
      </c>
      <c r="L10">
        <v>4500</v>
      </c>
      <c r="AC10">
        <v>9</v>
      </c>
    </row>
    <row r="11" spans="1:29" x14ac:dyDescent="0.55000000000000004">
      <c r="A11" t="s">
        <v>18</v>
      </c>
      <c r="B11" t="str">
        <f>貼付!$G$2&amp;マスタ登録抽出!A11</f>
        <v>4516552522125-10</v>
      </c>
      <c r="C11">
        <f>貼付!F11</f>
        <v>1000</v>
      </c>
      <c r="D11" s="1">
        <f>貼付!$G$2</f>
        <v>4516552522125</v>
      </c>
      <c r="F11" t="str">
        <f>貼付!$I$2&amp;"  "&amp;マスタ登録抽出!AC11&amp;貼付!$A$2</f>
        <v>かもす 温泉豆乳ﾎﾞﾃﾞｨｿｰﾌﾟ  18L  10個</v>
      </c>
      <c r="I11">
        <f>貼付!$L$2*AC11</f>
        <v>10000</v>
      </c>
      <c r="K11">
        <f t="shared" si="0"/>
        <v>10000</v>
      </c>
      <c r="L11">
        <v>5000</v>
      </c>
      <c r="AC11">
        <v>10</v>
      </c>
    </row>
    <row r="12" spans="1:29" x14ac:dyDescent="0.55000000000000004">
      <c r="A12" t="s">
        <v>9</v>
      </c>
      <c r="B12" t="str">
        <f>貼付!$G$2&amp;マスタ登録抽出!A12</f>
        <v>4516552522125-1</v>
      </c>
      <c r="C12">
        <f>貼付!F12</f>
        <v>1000</v>
      </c>
      <c r="D12" s="1">
        <f>貼付!$G$3</f>
        <v>4516552208835</v>
      </c>
      <c r="F12" t="str">
        <f>貼付!$I$3&amp;"  "&amp;マスタ登録抽出!AC12&amp;貼付!$A$2</f>
        <v>かもす 温泉豆乳ｼｬﾝﾌﾟｰ  18L  1個</v>
      </c>
      <c r="I12">
        <f>貼付!$L$3*AC2</f>
        <v>2000</v>
      </c>
      <c r="K12">
        <f t="shared" si="0"/>
        <v>2000</v>
      </c>
      <c r="AC12">
        <v>1</v>
      </c>
    </row>
    <row r="13" spans="1:29" x14ac:dyDescent="0.55000000000000004">
      <c r="A13" t="s">
        <v>10</v>
      </c>
      <c r="B13" t="str">
        <f>貼付!$G$2&amp;マスタ登録抽出!A13</f>
        <v>4516552522125-2</v>
      </c>
      <c r="C13">
        <f>貼付!F13</f>
        <v>1000</v>
      </c>
      <c r="D13" s="1">
        <f>貼付!$G$3</f>
        <v>4516552208835</v>
      </c>
      <c r="F13" t="str">
        <f>貼付!$I$3&amp;"  "&amp;マスタ登録抽出!AC13&amp;貼付!$A$2</f>
        <v>かもす 温泉豆乳ｼｬﾝﾌﾟｰ  18L  2個</v>
      </c>
      <c r="I13">
        <f>貼付!$L$3*AC3</f>
        <v>4000</v>
      </c>
      <c r="K13">
        <f t="shared" si="0"/>
        <v>4000</v>
      </c>
      <c r="AC13">
        <v>2</v>
      </c>
    </row>
    <row r="14" spans="1:29" x14ac:dyDescent="0.55000000000000004">
      <c r="A14" t="s">
        <v>11</v>
      </c>
      <c r="B14" t="str">
        <f>貼付!$G$2&amp;マスタ登録抽出!A14</f>
        <v>4516552522125-3</v>
      </c>
      <c r="C14">
        <f>貼付!F14</f>
        <v>1000</v>
      </c>
      <c r="D14" s="1">
        <f>貼付!$G$3</f>
        <v>4516552208835</v>
      </c>
      <c r="F14" t="str">
        <f>貼付!$I$3&amp;"  "&amp;マスタ登録抽出!AC14&amp;貼付!$A$2</f>
        <v>かもす 温泉豆乳ｼｬﾝﾌﾟｰ  18L  3個</v>
      </c>
      <c r="I14">
        <f>貼付!$L$3*AC4</f>
        <v>6000</v>
      </c>
      <c r="K14">
        <f t="shared" si="0"/>
        <v>6000</v>
      </c>
      <c r="AC14">
        <v>3</v>
      </c>
    </row>
    <row r="15" spans="1:29" x14ac:dyDescent="0.55000000000000004">
      <c r="A15" t="s">
        <v>12</v>
      </c>
      <c r="B15" t="str">
        <f>貼付!$G$2&amp;マスタ登録抽出!A15</f>
        <v>4516552522125-4</v>
      </c>
      <c r="C15">
        <f>貼付!F15</f>
        <v>1000</v>
      </c>
      <c r="D15" s="1">
        <f>貼付!$G$3</f>
        <v>4516552208835</v>
      </c>
      <c r="F15" t="str">
        <f>貼付!$I$3&amp;"  "&amp;マスタ登録抽出!AC15&amp;貼付!$A$2</f>
        <v>かもす 温泉豆乳ｼｬﾝﾌﾟｰ  18L  4個</v>
      </c>
      <c r="I15">
        <f>貼付!$L$3*AC5</f>
        <v>8000</v>
      </c>
      <c r="K15">
        <f t="shared" si="0"/>
        <v>8000</v>
      </c>
      <c r="AC15">
        <v>4</v>
      </c>
    </row>
    <row r="16" spans="1:29" x14ac:dyDescent="0.55000000000000004">
      <c r="A16" t="s">
        <v>13</v>
      </c>
      <c r="B16" t="str">
        <f>貼付!$G$2&amp;マスタ登録抽出!A16</f>
        <v>4516552522125-5</v>
      </c>
      <c r="C16">
        <f>貼付!F16</f>
        <v>1000</v>
      </c>
      <c r="D16" s="1">
        <f>貼付!$G$3</f>
        <v>4516552208835</v>
      </c>
      <c r="F16" t="str">
        <f>貼付!$I$3&amp;"  "&amp;マスタ登録抽出!AC16&amp;貼付!$A$2</f>
        <v>かもす 温泉豆乳ｼｬﾝﾌﾟｰ  18L  5個</v>
      </c>
      <c r="I16">
        <f>貼付!$L$3*AC6</f>
        <v>10000</v>
      </c>
      <c r="K16">
        <f t="shared" si="0"/>
        <v>10000</v>
      </c>
      <c r="AC16">
        <v>5</v>
      </c>
    </row>
    <row r="17" spans="1:29" x14ac:dyDescent="0.55000000000000004">
      <c r="A17" t="s">
        <v>14</v>
      </c>
      <c r="B17" t="str">
        <f>貼付!$G$2&amp;マスタ登録抽出!A17</f>
        <v>4516552522125-6</v>
      </c>
      <c r="C17">
        <f>貼付!F17</f>
        <v>1000</v>
      </c>
      <c r="D17" s="1">
        <f>貼付!$G$3</f>
        <v>4516552208835</v>
      </c>
      <c r="F17" t="str">
        <f>貼付!$I$3&amp;"  "&amp;マスタ登録抽出!AC17&amp;貼付!$A$2</f>
        <v>かもす 温泉豆乳ｼｬﾝﾌﾟｰ  18L  6個</v>
      </c>
      <c r="I17">
        <f>貼付!$L$3*AC7</f>
        <v>12000</v>
      </c>
      <c r="K17">
        <f t="shared" si="0"/>
        <v>12000</v>
      </c>
      <c r="AC17">
        <v>6</v>
      </c>
    </row>
    <row r="18" spans="1:29" x14ac:dyDescent="0.55000000000000004">
      <c r="A18" t="s">
        <v>15</v>
      </c>
      <c r="B18" t="str">
        <f>貼付!$G$2&amp;マスタ登録抽出!A18</f>
        <v>4516552522125-7</v>
      </c>
      <c r="C18">
        <f>貼付!F18</f>
        <v>1000</v>
      </c>
      <c r="D18" s="1">
        <f>貼付!$G$3</f>
        <v>4516552208835</v>
      </c>
      <c r="F18" t="str">
        <f>貼付!$I$3&amp;"  "&amp;マスタ登録抽出!AC18&amp;貼付!$A$2</f>
        <v>かもす 温泉豆乳ｼｬﾝﾌﾟｰ  18L  7個</v>
      </c>
      <c r="I18">
        <f>貼付!$L$3*AC8</f>
        <v>14000</v>
      </c>
      <c r="K18">
        <f t="shared" si="0"/>
        <v>14000</v>
      </c>
      <c r="AC18">
        <v>7</v>
      </c>
    </row>
    <row r="19" spans="1:29" x14ac:dyDescent="0.55000000000000004">
      <c r="A19" t="s">
        <v>16</v>
      </c>
      <c r="B19" t="str">
        <f>貼付!$G$2&amp;マスタ登録抽出!A19</f>
        <v>4516552522125-8</v>
      </c>
      <c r="C19">
        <f>貼付!F19</f>
        <v>1000</v>
      </c>
      <c r="D19" s="1">
        <f>貼付!$G$3</f>
        <v>4516552208835</v>
      </c>
      <c r="F19" t="str">
        <f>貼付!$I$3&amp;"  "&amp;マスタ登録抽出!AC19&amp;貼付!$A$2</f>
        <v>かもす 温泉豆乳ｼｬﾝﾌﾟｰ  18L  8個</v>
      </c>
      <c r="I19">
        <f>貼付!$L$3*AC9</f>
        <v>16000</v>
      </c>
      <c r="K19">
        <f t="shared" si="0"/>
        <v>16000</v>
      </c>
      <c r="AC19">
        <v>8</v>
      </c>
    </row>
    <row r="20" spans="1:29" x14ac:dyDescent="0.55000000000000004">
      <c r="A20" t="s">
        <v>17</v>
      </c>
      <c r="B20" t="str">
        <f>貼付!$G$2&amp;マスタ登録抽出!A20</f>
        <v>4516552522125-9</v>
      </c>
      <c r="C20">
        <f>貼付!F20</f>
        <v>1000</v>
      </c>
      <c r="D20" s="1">
        <f>貼付!$G$3</f>
        <v>4516552208835</v>
      </c>
      <c r="F20" t="str">
        <f>貼付!$I$3&amp;"  "&amp;マスタ登録抽出!AC20&amp;貼付!$A$2</f>
        <v>かもす 温泉豆乳ｼｬﾝﾌﾟｰ  18L  9個</v>
      </c>
      <c r="I20">
        <f>貼付!$L$3*AC10</f>
        <v>18000</v>
      </c>
      <c r="K20">
        <f t="shared" si="0"/>
        <v>18000</v>
      </c>
      <c r="AC20">
        <v>9</v>
      </c>
    </row>
    <row r="21" spans="1:29" x14ac:dyDescent="0.55000000000000004">
      <c r="A21" t="s">
        <v>18</v>
      </c>
      <c r="B21" t="str">
        <f>貼付!$G$2&amp;マスタ登録抽出!A21</f>
        <v>4516552522125-10</v>
      </c>
      <c r="C21">
        <f>貼付!F21</f>
        <v>1000</v>
      </c>
      <c r="D21" s="1">
        <f>貼付!$G$3</f>
        <v>4516552208835</v>
      </c>
      <c r="F21" t="str">
        <f>貼付!$I$3&amp;"  "&amp;マスタ登録抽出!AC21&amp;貼付!$A$2</f>
        <v>かもす 温泉豆乳ｼｬﾝﾌﾟｰ  18L  10個</v>
      </c>
      <c r="I21">
        <f>貼付!$L$3*AC11</f>
        <v>20000</v>
      </c>
      <c r="K21">
        <f t="shared" si="0"/>
        <v>20000</v>
      </c>
      <c r="AC21">
        <v>10</v>
      </c>
    </row>
    <row r="22" spans="1:29" x14ac:dyDescent="0.55000000000000004">
      <c r="A22" t="s">
        <v>9</v>
      </c>
      <c r="B22" t="str">
        <f>貼付!$G$2&amp;マスタ登録抽出!A22</f>
        <v>4516552522125-1</v>
      </c>
      <c r="C22">
        <f>貼付!F22</f>
        <v>1000</v>
      </c>
      <c r="D22" s="1">
        <f>貼付!$G$4</f>
        <v>4516552001606</v>
      </c>
      <c r="I22">
        <f>貼付!$L$4*AC12</f>
        <v>3000</v>
      </c>
      <c r="K22">
        <f t="shared" si="0"/>
        <v>3000</v>
      </c>
      <c r="AC22">
        <v>1</v>
      </c>
    </row>
    <row r="23" spans="1:29" x14ac:dyDescent="0.55000000000000004">
      <c r="A23" t="s">
        <v>10</v>
      </c>
      <c r="B23" t="str">
        <f>貼付!$G$2&amp;マスタ登録抽出!A23</f>
        <v>4516552522125-2</v>
      </c>
      <c r="C23">
        <f>貼付!F23</f>
        <v>1000</v>
      </c>
      <c r="D23" s="1">
        <f>貼付!$G$4</f>
        <v>4516552001606</v>
      </c>
      <c r="I23">
        <f>貼付!$L$4*AC13</f>
        <v>6000</v>
      </c>
      <c r="K23">
        <f t="shared" si="0"/>
        <v>6000</v>
      </c>
      <c r="AC23">
        <v>2</v>
      </c>
    </row>
    <row r="24" spans="1:29" x14ac:dyDescent="0.55000000000000004">
      <c r="A24" t="s">
        <v>11</v>
      </c>
      <c r="B24" t="str">
        <f>貼付!$G$2&amp;マスタ登録抽出!A24</f>
        <v>4516552522125-3</v>
      </c>
      <c r="C24">
        <f>貼付!F24</f>
        <v>1000</v>
      </c>
      <c r="D24" s="1">
        <f>貼付!$G$4</f>
        <v>4516552001606</v>
      </c>
      <c r="I24">
        <f>貼付!$L$4*AC14</f>
        <v>9000</v>
      </c>
      <c r="K24">
        <f t="shared" si="0"/>
        <v>9000</v>
      </c>
      <c r="AC24">
        <v>3</v>
      </c>
    </row>
    <row r="25" spans="1:29" x14ac:dyDescent="0.55000000000000004">
      <c r="A25" t="s">
        <v>12</v>
      </c>
      <c r="B25" t="str">
        <f>貼付!$G$2&amp;マスタ登録抽出!A25</f>
        <v>4516552522125-4</v>
      </c>
      <c r="C25">
        <f>貼付!F25</f>
        <v>1000</v>
      </c>
      <c r="D25" s="1">
        <f>貼付!$G$4</f>
        <v>4516552001606</v>
      </c>
      <c r="I25">
        <f>貼付!$L$4*AC15</f>
        <v>12000</v>
      </c>
      <c r="K25">
        <f t="shared" si="0"/>
        <v>12000</v>
      </c>
      <c r="AC25">
        <v>4</v>
      </c>
    </row>
    <row r="26" spans="1:29" x14ac:dyDescent="0.55000000000000004">
      <c r="A26" t="s">
        <v>13</v>
      </c>
      <c r="B26" t="str">
        <f>貼付!$G$2&amp;マスタ登録抽出!A26</f>
        <v>4516552522125-5</v>
      </c>
      <c r="C26">
        <f>貼付!F26</f>
        <v>1000</v>
      </c>
      <c r="D26" s="1">
        <f>貼付!$G$4</f>
        <v>4516552001606</v>
      </c>
      <c r="I26">
        <f>貼付!$L$4*AC16</f>
        <v>15000</v>
      </c>
      <c r="K26">
        <f t="shared" si="0"/>
        <v>15000</v>
      </c>
      <c r="AC26">
        <v>5</v>
      </c>
    </row>
    <row r="27" spans="1:29" x14ac:dyDescent="0.55000000000000004">
      <c r="A27" t="s">
        <v>14</v>
      </c>
      <c r="B27" t="str">
        <f>貼付!$G$2&amp;マスタ登録抽出!A27</f>
        <v>4516552522125-6</v>
      </c>
      <c r="C27">
        <f>貼付!F27</f>
        <v>1000</v>
      </c>
      <c r="D27" s="1">
        <f>貼付!$G$4</f>
        <v>4516552001606</v>
      </c>
      <c r="I27">
        <f>貼付!$L$4*AC17</f>
        <v>18000</v>
      </c>
      <c r="K27">
        <f t="shared" si="0"/>
        <v>18000</v>
      </c>
      <c r="AC27">
        <v>6</v>
      </c>
    </row>
    <row r="28" spans="1:29" x14ac:dyDescent="0.55000000000000004">
      <c r="A28" t="s">
        <v>15</v>
      </c>
      <c r="B28" t="str">
        <f>貼付!$G$2&amp;マスタ登録抽出!A28</f>
        <v>4516552522125-7</v>
      </c>
      <c r="C28">
        <f>貼付!F28</f>
        <v>1000</v>
      </c>
      <c r="D28" s="1">
        <f>貼付!$G$4</f>
        <v>4516552001606</v>
      </c>
      <c r="I28">
        <f>貼付!$L$4*AC18</f>
        <v>21000</v>
      </c>
      <c r="K28">
        <f t="shared" si="0"/>
        <v>21000</v>
      </c>
      <c r="AC28">
        <v>7</v>
      </c>
    </row>
    <row r="29" spans="1:29" x14ac:dyDescent="0.55000000000000004">
      <c r="A29" t="s">
        <v>16</v>
      </c>
      <c r="B29" t="str">
        <f>貼付!$G$2&amp;マスタ登録抽出!A29</f>
        <v>4516552522125-8</v>
      </c>
      <c r="C29">
        <f>貼付!F29</f>
        <v>1000</v>
      </c>
      <c r="D29" s="1">
        <f>貼付!$G$4</f>
        <v>4516552001606</v>
      </c>
      <c r="I29">
        <f>貼付!$L$4*AC19</f>
        <v>24000</v>
      </c>
      <c r="K29">
        <f t="shared" si="0"/>
        <v>24000</v>
      </c>
      <c r="AC29">
        <v>8</v>
      </c>
    </row>
    <row r="30" spans="1:29" x14ac:dyDescent="0.55000000000000004">
      <c r="A30" t="s">
        <v>17</v>
      </c>
      <c r="B30" t="str">
        <f>貼付!$G$2&amp;マスタ登録抽出!A30</f>
        <v>4516552522125-9</v>
      </c>
      <c r="C30">
        <f>貼付!F30</f>
        <v>1000</v>
      </c>
      <c r="D30" s="1">
        <f>貼付!$G$4</f>
        <v>4516552001606</v>
      </c>
      <c r="I30">
        <f>貼付!$L$4*AC20</f>
        <v>27000</v>
      </c>
      <c r="K30">
        <f t="shared" si="0"/>
        <v>27000</v>
      </c>
      <c r="AC30">
        <v>9</v>
      </c>
    </row>
    <row r="31" spans="1:29" x14ac:dyDescent="0.55000000000000004">
      <c r="A31" t="s">
        <v>18</v>
      </c>
      <c r="B31" t="str">
        <f>貼付!$G$2&amp;マスタ登録抽出!A31</f>
        <v>4516552522125-10</v>
      </c>
      <c r="C31">
        <f>貼付!F31</f>
        <v>1000</v>
      </c>
      <c r="D31" s="1">
        <f>貼付!$G$4</f>
        <v>4516552001606</v>
      </c>
      <c r="I31">
        <f>貼付!$L$4*AC21</f>
        <v>30000</v>
      </c>
      <c r="K31">
        <f t="shared" si="0"/>
        <v>30000</v>
      </c>
      <c r="AC31">
        <v>10</v>
      </c>
    </row>
    <row r="92" spans="1:29" x14ac:dyDescent="0.55000000000000004">
      <c r="A92" t="s">
        <v>9</v>
      </c>
      <c r="B92" t="str">
        <f>貼付!$G$2&amp;マスタ登録抽出!A92</f>
        <v>4516552522125-1</v>
      </c>
      <c r="K92" t="str">
        <f t="shared" ref="K92:K111" si="1">IF(D92&gt;=1,ROUNDUP(I92*J92,0)+I92,"")</f>
        <v/>
      </c>
      <c r="AC92">
        <v>1</v>
      </c>
    </row>
    <row r="93" spans="1:29" x14ac:dyDescent="0.55000000000000004">
      <c r="A93" t="s">
        <v>10</v>
      </c>
      <c r="B93" t="str">
        <f>貼付!$G$2&amp;マスタ登録抽出!A93</f>
        <v>4516552522125-2</v>
      </c>
      <c r="K93" t="str">
        <f t="shared" si="1"/>
        <v/>
      </c>
      <c r="AC93">
        <v>2</v>
      </c>
    </row>
    <row r="94" spans="1:29" x14ac:dyDescent="0.55000000000000004">
      <c r="A94" t="s">
        <v>11</v>
      </c>
      <c r="B94" t="str">
        <f>貼付!$G$2&amp;マスタ登録抽出!A94</f>
        <v>4516552522125-3</v>
      </c>
      <c r="K94" t="str">
        <f t="shared" si="1"/>
        <v/>
      </c>
      <c r="AC94">
        <v>3</v>
      </c>
    </row>
    <row r="95" spans="1:29" x14ac:dyDescent="0.55000000000000004">
      <c r="A95" t="s">
        <v>12</v>
      </c>
      <c r="B95" t="str">
        <f>貼付!$G$2&amp;マスタ登録抽出!A95</f>
        <v>4516552522125-4</v>
      </c>
      <c r="K95" t="str">
        <f t="shared" si="1"/>
        <v/>
      </c>
      <c r="AC95">
        <v>4</v>
      </c>
    </row>
    <row r="96" spans="1:29" x14ac:dyDescent="0.55000000000000004">
      <c r="A96" t="s">
        <v>13</v>
      </c>
      <c r="B96" t="str">
        <f>貼付!$G$2&amp;マスタ登録抽出!A96</f>
        <v>4516552522125-5</v>
      </c>
      <c r="K96" t="str">
        <f t="shared" si="1"/>
        <v/>
      </c>
      <c r="AC96">
        <v>5</v>
      </c>
    </row>
    <row r="97" spans="1:29" x14ac:dyDescent="0.55000000000000004">
      <c r="A97" t="s">
        <v>14</v>
      </c>
      <c r="B97" t="str">
        <f>貼付!$G$2&amp;マスタ登録抽出!A97</f>
        <v>4516552522125-6</v>
      </c>
      <c r="K97" t="str">
        <f t="shared" si="1"/>
        <v/>
      </c>
      <c r="AC97">
        <v>6</v>
      </c>
    </row>
    <row r="98" spans="1:29" x14ac:dyDescent="0.55000000000000004">
      <c r="A98" t="s">
        <v>15</v>
      </c>
      <c r="B98" t="str">
        <f>貼付!$G$2&amp;マスタ登録抽出!A98</f>
        <v>4516552522125-7</v>
      </c>
      <c r="K98" t="str">
        <f t="shared" si="1"/>
        <v/>
      </c>
      <c r="AC98">
        <v>7</v>
      </c>
    </row>
    <row r="99" spans="1:29" x14ac:dyDescent="0.55000000000000004">
      <c r="A99" t="s">
        <v>16</v>
      </c>
      <c r="B99" t="str">
        <f>貼付!$G$2&amp;マスタ登録抽出!A99</f>
        <v>4516552522125-8</v>
      </c>
      <c r="K99" t="str">
        <f t="shared" si="1"/>
        <v/>
      </c>
      <c r="AC99">
        <v>8</v>
      </c>
    </row>
    <row r="100" spans="1:29" x14ac:dyDescent="0.55000000000000004">
      <c r="A100" t="s">
        <v>17</v>
      </c>
      <c r="B100" t="str">
        <f>貼付!$G$2&amp;マスタ登録抽出!A100</f>
        <v>4516552522125-9</v>
      </c>
      <c r="K100" t="str">
        <f t="shared" si="1"/>
        <v/>
      </c>
      <c r="AC100">
        <v>9</v>
      </c>
    </row>
    <row r="101" spans="1:29" x14ac:dyDescent="0.55000000000000004">
      <c r="A101" t="s">
        <v>18</v>
      </c>
      <c r="B101" t="str">
        <f>貼付!$G$2&amp;マスタ登録抽出!A101</f>
        <v>4516552522125-10</v>
      </c>
      <c r="K101" t="str">
        <f t="shared" si="1"/>
        <v/>
      </c>
      <c r="AC101">
        <v>10</v>
      </c>
    </row>
    <row r="102" spans="1:29" x14ac:dyDescent="0.55000000000000004">
      <c r="A102" t="s">
        <v>9</v>
      </c>
      <c r="B102" t="str">
        <f>貼付!$G$2&amp;マスタ登録抽出!A102</f>
        <v>4516552522125-1</v>
      </c>
      <c r="K102" t="str">
        <f t="shared" si="1"/>
        <v/>
      </c>
      <c r="AC102">
        <v>1</v>
      </c>
    </row>
    <row r="103" spans="1:29" x14ac:dyDescent="0.55000000000000004">
      <c r="A103" t="s">
        <v>10</v>
      </c>
      <c r="B103" t="str">
        <f>貼付!$G$2&amp;マスタ登録抽出!A103</f>
        <v>4516552522125-2</v>
      </c>
      <c r="K103" t="str">
        <f t="shared" si="1"/>
        <v/>
      </c>
      <c r="AC103">
        <v>2</v>
      </c>
    </row>
    <row r="104" spans="1:29" x14ac:dyDescent="0.55000000000000004">
      <c r="A104" t="s">
        <v>11</v>
      </c>
      <c r="B104" t="str">
        <f>貼付!$G$2&amp;マスタ登録抽出!A104</f>
        <v>4516552522125-3</v>
      </c>
      <c r="K104" t="str">
        <f t="shared" si="1"/>
        <v/>
      </c>
      <c r="AC104">
        <v>3</v>
      </c>
    </row>
    <row r="105" spans="1:29" x14ac:dyDescent="0.55000000000000004">
      <c r="A105" t="s">
        <v>12</v>
      </c>
      <c r="B105" t="str">
        <f>貼付!$G$2&amp;マスタ登録抽出!A105</f>
        <v>4516552522125-4</v>
      </c>
      <c r="K105" t="str">
        <f t="shared" si="1"/>
        <v/>
      </c>
      <c r="AC105">
        <v>4</v>
      </c>
    </row>
    <row r="106" spans="1:29" x14ac:dyDescent="0.55000000000000004">
      <c r="A106" t="s">
        <v>13</v>
      </c>
      <c r="B106" t="str">
        <f>貼付!$G$2&amp;マスタ登録抽出!A106</f>
        <v>4516552522125-5</v>
      </c>
      <c r="K106" t="str">
        <f t="shared" si="1"/>
        <v/>
      </c>
      <c r="AC106">
        <v>5</v>
      </c>
    </row>
    <row r="107" spans="1:29" x14ac:dyDescent="0.55000000000000004">
      <c r="A107" t="s">
        <v>14</v>
      </c>
      <c r="B107" t="str">
        <f>貼付!$G$2&amp;マスタ登録抽出!A107</f>
        <v>4516552522125-6</v>
      </c>
      <c r="K107" t="str">
        <f t="shared" si="1"/>
        <v/>
      </c>
      <c r="AC107">
        <v>6</v>
      </c>
    </row>
    <row r="108" spans="1:29" x14ac:dyDescent="0.55000000000000004">
      <c r="A108" t="s">
        <v>15</v>
      </c>
      <c r="B108" t="str">
        <f>貼付!$G$2&amp;マスタ登録抽出!A108</f>
        <v>4516552522125-7</v>
      </c>
      <c r="K108" t="str">
        <f t="shared" si="1"/>
        <v/>
      </c>
      <c r="AC108">
        <v>7</v>
      </c>
    </row>
    <row r="109" spans="1:29" x14ac:dyDescent="0.55000000000000004">
      <c r="A109" t="s">
        <v>16</v>
      </c>
      <c r="B109" t="str">
        <f>貼付!$G$2&amp;マスタ登録抽出!A109</f>
        <v>4516552522125-8</v>
      </c>
      <c r="K109" t="str">
        <f t="shared" si="1"/>
        <v/>
      </c>
      <c r="AC109">
        <v>8</v>
      </c>
    </row>
    <row r="110" spans="1:29" x14ac:dyDescent="0.55000000000000004">
      <c r="A110" t="s">
        <v>17</v>
      </c>
      <c r="B110" t="str">
        <f>貼付!$G$2&amp;マスタ登録抽出!A110</f>
        <v>4516552522125-9</v>
      </c>
      <c r="K110" t="str">
        <f t="shared" si="1"/>
        <v/>
      </c>
      <c r="AC110">
        <v>9</v>
      </c>
    </row>
    <row r="111" spans="1:29" x14ac:dyDescent="0.55000000000000004">
      <c r="A111" t="s">
        <v>18</v>
      </c>
      <c r="B111" t="str">
        <f>貼付!$G$2&amp;マスタ登録抽出!A111</f>
        <v>4516552522125-10</v>
      </c>
      <c r="K111" t="str">
        <f t="shared" si="1"/>
        <v/>
      </c>
      <c r="AC111">
        <v>10</v>
      </c>
    </row>
    <row r="112" spans="1:29" x14ac:dyDescent="0.55000000000000004">
      <c r="A112" t="s">
        <v>9</v>
      </c>
      <c r="B112" t="str">
        <f>貼付!$G$2&amp;マスタ登録抽出!A112</f>
        <v>4516552522125-1</v>
      </c>
      <c r="AC112">
        <v>1</v>
      </c>
    </row>
    <row r="113" spans="1:29" x14ac:dyDescent="0.55000000000000004">
      <c r="A113" t="s">
        <v>10</v>
      </c>
      <c r="B113" t="str">
        <f>貼付!$G$2&amp;マスタ登録抽出!A113</f>
        <v>4516552522125-2</v>
      </c>
      <c r="AC113">
        <v>2</v>
      </c>
    </row>
    <row r="114" spans="1:29" x14ac:dyDescent="0.55000000000000004">
      <c r="A114" t="s">
        <v>11</v>
      </c>
      <c r="B114" t="str">
        <f>貼付!$G$2&amp;マスタ登録抽出!A114</f>
        <v>4516552522125-3</v>
      </c>
      <c r="AC114">
        <v>3</v>
      </c>
    </row>
    <row r="115" spans="1:29" x14ac:dyDescent="0.55000000000000004">
      <c r="A115" t="s">
        <v>12</v>
      </c>
      <c r="B115" t="str">
        <f>貼付!$G$2&amp;マスタ登録抽出!A115</f>
        <v>4516552522125-4</v>
      </c>
      <c r="AC115">
        <v>4</v>
      </c>
    </row>
    <row r="116" spans="1:29" x14ac:dyDescent="0.55000000000000004">
      <c r="A116" t="s">
        <v>13</v>
      </c>
      <c r="B116" t="str">
        <f>貼付!$G$2&amp;マスタ登録抽出!A116</f>
        <v>4516552522125-5</v>
      </c>
      <c r="AC116">
        <v>5</v>
      </c>
    </row>
    <row r="117" spans="1:29" x14ac:dyDescent="0.55000000000000004">
      <c r="A117" t="s">
        <v>14</v>
      </c>
      <c r="B117" t="str">
        <f>貼付!$G$2&amp;マスタ登録抽出!A117</f>
        <v>4516552522125-6</v>
      </c>
      <c r="AC117">
        <v>6</v>
      </c>
    </row>
    <row r="118" spans="1:29" x14ac:dyDescent="0.55000000000000004">
      <c r="A118" t="s">
        <v>15</v>
      </c>
      <c r="B118" t="str">
        <f>貼付!$G$2&amp;マスタ登録抽出!A118</f>
        <v>4516552522125-7</v>
      </c>
      <c r="AC118">
        <v>7</v>
      </c>
    </row>
    <row r="119" spans="1:29" x14ac:dyDescent="0.55000000000000004">
      <c r="A119" t="s">
        <v>16</v>
      </c>
      <c r="B119" t="str">
        <f>貼付!$G$2&amp;マスタ登録抽出!A119</f>
        <v>4516552522125-8</v>
      </c>
      <c r="AC119">
        <v>8</v>
      </c>
    </row>
    <row r="120" spans="1:29" x14ac:dyDescent="0.55000000000000004">
      <c r="A120" t="s">
        <v>17</v>
      </c>
      <c r="B120" t="str">
        <f>貼付!$G$2&amp;マスタ登録抽出!A120</f>
        <v>4516552522125-9</v>
      </c>
      <c r="AC120">
        <v>9</v>
      </c>
    </row>
    <row r="121" spans="1:29" x14ac:dyDescent="0.55000000000000004">
      <c r="A121" t="s">
        <v>18</v>
      </c>
      <c r="B121" t="str">
        <f>貼付!$G$2&amp;マスタ登録抽出!A121</f>
        <v>4516552522125-10</v>
      </c>
      <c r="AC121">
        <v>10</v>
      </c>
    </row>
    <row r="122" spans="1:29" x14ac:dyDescent="0.55000000000000004">
      <c r="A122" t="s">
        <v>9</v>
      </c>
      <c r="B122" t="str">
        <f>貼付!$G$2&amp;マスタ登録抽出!A122</f>
        <v>4516552522125-1</v>
      </c>
      <c r="AC122">
        <v>1</v>
      </c>
    </row>
    <row r="123" spans="1:29" x14ac:dyDescent="0.55000000000000004">
      <c r="A123" t="s">
        <v>10</v>
      </c>
      <c r="B123" t="str">
        <f>貼付!$G$2&amp;マスタ登録抽出!A123</f>
        <v>4516552522125-2</v>
      </c>
      <c r="AC123">
        <v>2</v>
      </c>
    </row>
    <row r="124" spans="1:29" x14ac:dyDescent="0.55000000000000004">
      <c r="A124" t="s">
        <v>11</v>
      </c>
      <c r="B124" t="str">
        <f>貼付!$G$2&amp;マスタ登録抽出!A124</f>
        <v>4516552522125-3</v>
      </c>
      <c r="AC124">
        <v>3</v>
      </c>
    </row>
    <row r="125" spans="1:29" x14ac:dyDescent="0.55000000000000004">
      <c r="A125" t="s">
        <v>12</v>
      </c>
      <c r="B125" t="str">
        <f>貼付!$G$2&amp;マスタ登録抽出!A125</f>
        <v>4516552522125-4</v>
      </c>
      <c r="AC125">
        <v>4</v>
      </c>
    </row>
    <row r="126" spans="1:29" x14ac:dyDescent="0.55000000000000004">
      <c r="A126" t="s">
        <v>13</v>
      </c>
      <c r="B126" t="str">
        <f>貼付!$G$2&amp;マスタ登録抽出!A126</f>
        <v>4516552522125-5</v>
      </c>
      <c r="AC126">
        <v>5</v>
      </c>
    </row>
    <row r="127" spans="1:29" x14ac:dyDescent="0.55000000000000004">
      <c r="A127" t="s">
        <v>14</v>
      </c>
      <c r="B127" t="str">
        <f>貼付!$G$2&amp;マスタ登録抽出!A127</f>
        <v>4516552522125-6</v>
      </c>
      <c r="AC127">
        <v>6</v>
      </c>
    </row>
    <row r="128" spans="1:29" x14ac:dyDescent="0.55000000000000004">
      <c r="A128" t="s">
        <v>15</v>
      </c>
      <c r="B128" t="str">
        <f>貼付!$G$2&amp;マスタ登録抽出!A128</f>
        <v>4516552522125-7</v>
      </c>
      <c r="AC128">
        <v>7</v>
      </c>
    </row>
    <row r="129" spans="1:29" x14ac:dyDescent="0.55000000000000004">
      <c r="A129" t="s">
        <v>16</v>
      </c>
      <c r="B129" t="str">
        <f>貼付!$G$2&amp;マスタ登録抽出!A129</f>
        <v>4516552522125-8</v>
      </c>
      <c r="AC129">
        <v>8</v>
      </c>
    </row>
    <row r="130" spans="1:29" x14ac:dyDescent="0.55000000000000004">
      <c r="A130" t="s">
        <v>17</v>
      </c>
      <c r="B130" t="str">
        <f>貼付!$G$2&amp;マスタ登録抽出!A130</f>
        <v>4516552522125-9</v>
      </c>
      <c r="AC130">
        <v>9</v>
      </c>
    </row>
    <row r="131" spans="1:29" x14ac:dyDescent="0.55000000000000004">
      <c r="A131" t="s">
        <v>18</v>
      </c>
      <c r="B131" t="str">
        <f>貼付!$G$2&amp;マスタ登録抽出!A131</f>
        <v>4516552522125-10</v>
      </c>
      <c r="AC131">
        <v>10</v>
      </c>
    </row>
    <row r="132" spans="1:29" x14ac:dyDescent="0.55000000000000004">
      <c r="A132" t="s">
        <v>9</v>
      </c>
      <c r="B132" t="str">
        <f>貼付!$G$2&amp;マスタ登録抽出!A132</f>
        <v>4516552522125-1</v>
      </c>
      <c r="AC132">
        <v>1</v>
      </c>
    </row>
    <row r="133" spans="1:29" x14ac:dyDescent="0.55000000000000004">
      <c r="A133" t="s">
        <v>10</v>
      </c>
      <c r="B133" t="str">
        <f>貼付!$G$2&amp;マスタ登録抽出!A133</f>
        <v>4516552522125-2</v>
      </c>
      <c r="AC133">
        <v>2</v>
      </c>
    </row>
    <row r="134" spans="1:29" x14ac:dyDescent="0.55000000000000004">
      <c r="A134" t="s">
        <v>11</v>
      </c>
      <c r="B134" t="str">
        <f>貼付!$G$2&amp;マスタ登録抽出!A134</f>
        <v>4516552522125-3</v>
      </c>
      <c r="AC134">
        <v>3</v>
      </c>
    </row>
    <row r="135" spans="1:29" x14ac:dyDescent="0.55000000000000004">
      <c r="A135" t="s">
        <v>12</v>
      </c>
      <c r="B135" t="str">
        <f>貼付!$G$2&amp;マスタ登録抽出!A135</f>
        <v>4516552522125-4</v>
      </c>
      <c r="AC135">
        <v>4</v>
      </c>
    </row>
    <row r="136" spans="1:29" x14ac:dyDescent="0.55000000000000004">
      <c r="A136" t="s">
        <v>13</v>
      </c>
      <c r="B136" t="str">
        <f>貼付!$G$2&amp;マスタ登録抽出!A136</f>
        <v>4516552522125-5</v>
      </c>
      <c r="AC136">
        <v>5</v>
      </c>
    </row>
    <row r="137" spans="1:29" x14ac:dyDescent="0.55000000000000004">
      <c r="A137" t="s">
        <v>14</v>
      </c>
      <c r="B137" t="str">
        <f>貼付!$G$2&amp;マスタ登録抽出!A137</f>
        <v>4516552522125-6</v>
      </c>
      <c r="AC137">
        <v>6</v>
      </c>
    </row>
    <row r="138" spans="1:29" x14ac:dyDescent="0.55000000000000004">
      <c r="A138" t="s">
        <v>15</v>
      </c>
      <c r="B138" t="str">
        <f>貼付!$G$2&amp;マスタ登録抽出!A138</f>
        <v>4516552522125-7</v>
      </c>
      <c r="AC138">
        <v>7</v>
      </c>
    </row>
    <row r="139" spans="1:29" x14ac:dyDescent="0.55000000000000004">
      <c r="A139" t="s">
        <v>16</v>
      </c>
      <c r="B139" t="str">
        <f>貼付!$G$2&amp;マスタ登録抽出!A139</f>
        <v>4516552522125-8</v>
      </c>
      <c r="AC139">
        <v>8</v>
      </c>
    </row>
    <row r="140" spans="1:29" x14ac:dyDescent="0.55000000000000004">
      <c r="A140" t="s">
        <v>17</v>
      </c>
      <c r="B140" t="str">
        <f>貼付!$G$2&amp;マスタ登録抽出!A140</f>
        <v>4516552522125-9</v>
      </c>
      <c r="AC140">
        <v>9</v>
      </c>
    </row>
    <row r="141" spans="1:29" x14ac:dyDescent="0.55000000000000004">
      <c r="A141" t="s">
        <v>18</v>
      </c>
      <c r="B141" t="str">
        <f>貼付!$G$2&amp;マスタ登録抽出!A141</f>
        <v>4516552522125-10</v>
      </c>
      <c r="AC141">
        <v>10</v>
      </c>
    </row>
    <row r="142" spans="1:29" x14ac:dyDescent="0.55000000000000004">
      <c r="A142" t="s">
        <v>9</v>
      </c>
      <c r="B142" t="str">
        <f>貼付!$G$2&amp;マスタ登録抽出!A142</f>
        <v>4516552522125-1</v>
      </c>
      <c r="AC142">
        <v>1</v>
      </c>
    </row>
    <row r="143" spans="1:29" x14ac:dyDescent="0.55000000000000004">
      <c r="A143" t="s">
        <v>10</v>
      </c>
      <c r="B143" t="str">
        <f>貼付!$G$2&amp;マスタ登録抽出!A143</f>
        <v>4516552522125-2</v>
      </c>
      <c r="AC143">
        <v>2</v>
      </c>
    </row>
    <row r="144" spans="1:29" x14ac:dyDescent="0.55000000000000004">
      <c r="A144" t="s">
        <v>11</v>
      </c>
      <c r="B144" t="str">
        <f>貼付!$G$2&amp;マスタ登録抽出!A144</f>
        <v>4516552522125-3</v>
      </c>
      <c r="AC144">
        <v>3</v>
      </c>
    </row>
    <row r="145" spans="1:29" x14ac:dyDescent="0.55000000000000004">
      <c r="A145" t="s">
        <v>12</v>
      </c>
      <c r="B145" t="str">
        <f>貼付!$G$2&amp;マスタ登録抽出!A145</f>
        <v>4516552522125-4</v>
      </c>
      <c r="AC145">
        <v>4</v>
      </c>
    </row>
    <row r="146" spans="1:29" x14ac:dyDescent="0.55000000000000004">
      <c r="A146" t="s">
        <v>13</v>
      </c>
      <c r="B146" t="str">
        <f>貼付!$G$2&amp;マスタ登録抽出!A146</f>
        <v>4516552522125-5</v>
      </c>
      <c r="AC146">
        <v>5</v>
      </c>
    </row>
    <row r="147" spans="1:29" x14ac:dyDescent="0.55000000000000004">
      <c r="A147" t="s">
        <v>14</v>
      </c>
      <c r="B147" t="str">
        <f>貼付!$G$2&amp;マスタ登録抽出!A147</f>
        <v>4516552522125-6</v>
      </c>
      <c r="AC147">
        <v>6</v>
      </c>
    </row>
    <row r="148" spans="1:29" x14ac:dyDescent="0.55000000000000004">
      <c r="A148" t="s">
        <v>15</v>
      </c>
      <c r="B148" t="str">
        <f>貼付!$G$2&amp;マスタ登録抽出!A148</f>
        <v>4516552522125-7</v>
      </c>
      <c r="AC148">
        <v>7</v>
      </c>
    </row>
    <row r="149" spans="1:29" x14ac:dyDescent="0.55000000000000004">
      <c r="A149" t="s">
        <v>16</v>
      </c>
      <c r="B149" t="str">
        <f>貼付!$G$2&amp;マスタ登録抽出!A149</f>
        <v>4516552522125-8</v>
      </c>
      <c r="AC149">
        <v>8</v>
      </c>
    </row>
    <row r="150" spans="1:29" x14ac:dyDescent="0.55000000000000004">
      <c r="A150" t="s">
        <v>17</v>
      </c>
      <c r="B150" t="str">
        <f>貼付!$G$2&amp;マスタ登録抽出!A150</f>
        <v>4516552522125-9</v>
      </c>
      <c r="AC150">
        <v>9</v>
      </c>
    </row>
    <row r="151" spans="1:29" x14ac:dyDescent="0.55000000000000004">
      <c r="A151" t="s">
        <v>18</v>
      </c>
      <c r="B151" t="str">
        <f>貼付!$G$2&amp;マスタ登録抽出!A151</f>
        <v>4516552522125-10</v>
      </c>
      <c r="AC151">
        <v>10</v>
      </c>
    </row>
    <row r="152" spans="1:29" x14ac:dyDescent="0.55000000000000004">
      <c r="A152" t="s">
        <v>9</v>
      </c>
      <c r="B152" t="str">
        <f>貼付!$G$2&amp;マスタ登録抽出!A152</f>
        <v>4516552522125-1</v>
      </c>
      <c r="AC152">
        <v>1</v>
      </c>
    </row>
    <row r="153" spans="1:29" x14ac:dyDescent="0.55000000000000004">
      <c r="A153" t="s">
        <v>10</v>
      </c>
      <c r="B153" t="str">
        <f>貼付!$G$2&amp;マスタ登録抽出!A153</f>
        <v>4516552522125-2</v>
      </c>
      <c r="AC153">
        <v>2</v>
      </c>
    </row>
    <row r="154" spans="1:29" x14ac:dyDescent="0.55000000000000004">
      <c r="A154" t="s">
        <v>11</v>
      </c>
      <c r="B154" t="str">
        <f>貼付!$G$2&amp;マスタ登録抽出!A154</f>
        <v>4516552522125-3</v>
      </c>
      <c r="AC154">
        <v>3</v>
      </c>
    </row>
    <row r="155" spans="1:29" x14ac:dyDescent="0.55000000000000004">
      <c r="A155" t="s">
        <v>12</v>
      </c>
      <c r="B155" t="str">
        <f>貼付!$G$2&amp;マスタ登録抽出!A155</f>
        <v>4516552522125-4</v>
      </c>
      <c r="AC155">
        <v>4</v>
      </c>
    </row>
    <row r="156" spans="1:29" x14ac:dyDescent="0.55000000000000004">
      <c r="A156" t="s">
        <v>13</v>
      </c>
      <c r="B156" t="str">
        <f>貼付!$G$2&amp;マスタ登録抽出!A156</f>
        <v>4516552522125-5</v>
      </c>
      <c r="AC156">
        <v>5</v>
      </c>
    </row>
    <row r="157" spans="1:29" x14ac:dyDescent="0.55000000000000004">
      <c r="A157" t="s">
        <v>14</v>
      </c>
      <c r="B157" t="str">
        <f>貼付!$G$2&amp;マスタ登録抽出!A157</f>
        <v>4516552522125-6</v>
      </c>
      <c r="AC157">
        <v>6</v>
      </c>
    </row>
    <row r="158" spans="1:29" x14ac:dyDescent="0.55000000000000004">
      <c r="A158" t="s">
        <v>15</v>
      </c>
      <c r="B158" t="str">
        <f>貼付!$G$2&amp;マスタ登録抽出!A158</f>
        <v>4516552522125-7</v>
      </c>
      <c r="AC158">
        <v>7</v>
      </c>
    </row>
    <row r="159" spans="1:29" x14ac:dyDescent="0.55000000000000004">
      <c r="A159" t="s">
        <v>16</v>
      </c>
      <c r="B159" t="str">
        <f>貼付!$G$2&amp;マスタ登録抽出!A159</f>
        <v>4516552522125-8</v>
      </c>
      <c r="AC159">
        <v>8</v>
      </c>
    </row>
    <row r="160" spans="1:29" x14ac:dyDescent="0.55000000000000004">
      <c r="A160" t="s">
        <v>17</v>
      </c>
      <c r="B160" t="str">
        <f>貼付!$G$2&amp;マスタ登録抽出!A160</f>
        <v>4516552522125-9</v>
      </c>
      <c r="AC160">
        <v>9</v>
      </c>
    </row>
    <row r="161" spans="1:29" x14ac:dyDescent="0.55000000000000004">
      <c r="A161" t="s">
        <v>18</v>
      </c>
      <c r="B161" t="str">
        <f>貼付!$G$2&amp;マスタ登録抽出!A161</f>
        <v>4516552522125-10</v>
      </c>
      <c r="AC161">
        <v>10</v>
      </c>
    </row>
    <row r="162" spans="1:29" x14ac:dyDescent="0.55000000000000004">
      <c r="A162" t="s">
        <v>9</v>
      </c>
      <c r="B162" t="str">
        <f>貼付!$G$2&amp;マスタ登録抽出!A162</f>
        <v>4516552522125-1</v>
      </c>
      <c r="AC162">
        <v>1</v>
      </c>
    </row>
    <row r="163" spans="1:29" x14ac:dyDescent="0.55000000000000004">
      <c r="A163" t="s">
        <v>10</v>
      </c>
      <c r="B163" t="str">
        <f>貼付!$G$2&amp;マスタ登録抽出!A163</f>
        <v>4516552522125-2</v>
      </c>
      <c r="AC163">
        <v>2</v>
      </c>
    </row>
    <row r="164" spans="1:29" x14ac:dyDescent="0.55000000000000004">
      <c r="A164" t="s">
        <v>11</v>
      </c>
      <c r="B164" t="str">
        <f>貼付!$G$2&amp;マスタ登録抽出!A164</f>
        <v>4516552522125-3</v>
      </c>
      <c r="AC164">
        <v>3</v>
      </c>
    </row>
    <row r="165" spans="1:29" x14ac:dyDescent="0.55000000000000004">
      <c r="A165" t="s">
        <v>12</v>
      </c>
      <c r="B165" t="str">
        <f>貼付!$G$2&amp;マスタ登録抽出!A165</f>
        <v>4516552522125-4</v>
      </c>
      <c r="AC165">
        <v>4</v>
      </c>
    </row>
    <row r="166" spans="1:29" x14ac:dyDescent="0.55000000000000004">
      <c r="A166" t="s">
        <v>13</v>
      </c>
      <c r="B166" t="str">
        <f>貼付!$G$2&amp;マスタ登録抽出!A166</f>
        <v>4516552522125-5</v>
      </c>
      <c r="AC166">
        <v>5</v>
      </c>
    </row>
    <row r="167" spans="1:29" x14ac:dyDescent="0.55000000000000004">
      <c r="A167" t="s">
        <v>14</v>
      </c>
      <c r="B167" t="str">
        <f>貼付!$G$2&amp;マスタ登録抽出!A167</f>
        <v>4516552522125-6</v>
      </c>
      <c r="AC167">
        <v>6</v>
      </c>
    </row>
    <row r="168" spans="1:29" x14ac:dyDescent="0.55000000000000004">
      <c r="A168" t="s">
        <v>15</v>
      </c>
      <c r="B168" t="str">
        <f>貼付!$G$2&amp;マスタ登録抽出!A168</f>
        <v>4516552522125-7</v>
      </c>
      <c r="AC168">
        <v>7</v>
      </c>
    </row>
    <row r="169" spans="1:29" x14ac:dyDescent="0.55000000000000004">
      <c r="A169" t="s">
        <v>16</v>
      </c>
      <c r="B169" t="str">
        <f>貼付!$G$2&amp;マスタ登録抽出!A169</f>
        <v>4516552522125-8</v>
      </c>
      <c r="AC169">
        <v>8</v>
      </c>
    </row>
    <row r="170" spans="1:29" x14ac:dyDescent="0.55000000000000004">
      <c r="A170" t="s">
        <v>17</v>
      </c>
      <c r="B170" t="str">
        <f>貼付!$G$2&amp;マスタ登録抽出!A170</f>
        <v>4516552522125-9</v>
      </c>
      <c r="AC170">
        <v>9</v>
      </c>
    </row>
    <row r="171" spans="1:29" x14ac:dyDescent="0.55000000000000004">
      <c r="A171" t="s">
        <v>18</v>
      </c>
      <c r="B171" t="str">
        <f>貼付!$G$2&amp;マスタ登録抽出!A171</f>
        <v>4516552522125-10</v>
      </c>
      <c r="AC171">
        <v>10</v>
      </c>
    </row>
    <row r="172" spans="1:29" x14ac:dyDescent="0.55000000000000004">
      <c r="A172" t="s">
        <v>9</v>
      </c>
      <c r="B172" t="str">
        <f>貼付!$G$2&amp;マスタ登録抽出!A172</f>
        <v>4516552522125-1</v>
      </c>
      <c r="AC172">
        <v>1</v>
      </c>
    </row>
    <row r="173" spans="1:29" x14ac:dyDescent="0.55000000000000004">
      <c r="A173" t="s">
        <v>10</v>
      </c>
      <c r="B173" t="str">
        <f>貼付!$G$2&amp;マスタ登録抽出!A173</f>
        <v>4516552522125-2</v>
      </c>
      <c r="AC173">
        <v>2</v>
      </c>
    </row>
    <row r="174" spans="1:29" x14ac:dyDescent="0.55000000000000004">
      <c r="A174" t="s">
        <v>11</v>
      </c>
      <c r="B174" t="str">
        <f>貼付!$G$2&amp;マスタ登録抽出!A174</f>
        <v>4516552522125-3</v>
      </c>
      <c r="AC174">
        <v>3</v>
      </c>
    </row>
    <row r="175" spans="1:29" x14ac:dyDescent="0.55000000000000004">
      <c r="A175" t="s">
        <v>12</v>
      </c>
      <c r="B175" t="str">
        <f>貼付!$G$2&amp;マスタ登録抽出!A175</f>
        <v>4516552522125-4</v>
      </c>
      <c r="AC175">
        <v>4</v>
      </c>
    </row>
    <row r="176" spans="1:29" x14ac:dyDescent="0.55000000000000004">
      <c r="A176" t="s">
        <v>13</v>
      </c>
      <c r="B176" t="str">
        <f>貼付!$G$2&amp;マスタ登録抽出!A176</f>
        <v>4516552522125-5</v>
      </c>
      <c r="AC176">
        <v>5</v>
      </c>
    </row>
    <row r="177" spans="1:29" x14ac:dyDescent="0.55000000000000004">
      <c r="A177" t="s">
        <v>14</v>
      </c>
      <c r="B177" t="str">
        <f>貼付!$G$2&amp;マスタ登録抽出!A177</f>
        <v>4516552522125-6</v>
      </c>
      <c r="AC177">
        <v>6</v>
      </c>
    </row>
    <row r="178" spans="1:29" x14ac:dyDescent="0.55000000000000004">
      <c r="A178" t="s">
        <v>15</v>
      </c>
      <c r="B178" t="str">
        <f>貼付!$G$2&amp;マスタ登録抽出!A178</f>
        <v>4516552522125-7</v>
      </c>
      <c r="AC178">
        <v>7</v>
      </c>
    </row>
    <row r="179" spans="1:29" x14ac:dyDescent="0.55000000000000004">
      <c r="A179" t="s">
        <v>16</v>
      </c>
      <c r="B179" t="str">
        <f>貼付!$G$2&amp;マスタ登録抽出!A179</f>
        <v>4516552522125-8</v>
      </c>
      <c r="AC179">
        <v>8</v>
      </c>
    </row>
    <row r="180" spans="1:29" x14ac:dyDescent="0.55000000000000004">
      <c r="A180" t="s">
        <v>17</v>
      </c>
      <c r="B180" t="str">
        <f>貼付!$G$2&amp;マスタ登録抽出!A180</f>
        <v>4516552522125-9</v>
      </c>
      <c r="AC180">
        <v>9</v>
      </c>
    </row>
    <row r="181" spans="1:29" x14ac:dyDescent="0.55000000000000004">
      <c r="A181" t="s">
        <v>18</v>
      </c>
      <c r="B181" t="str">
        <f>貼付!$G$2&amp;マスタ登録抽出!A181</f>
        <v>4516552522125-10</v>
      </c>
      <c r="AC181">
        <v>10</v>
      </c>
    </row>
    <row r="182" spans="1:29" x14ac:dyDescent="0.55000000000000004">
      <c r="A182" t="s">
        <v>9</v>
      </c>
      <c r="B182" t="str">
        <f>貼付!$G$2&amp;マスタ登録抽出!A182</f>
        <v>4516552522125-1</v>
      </c>
      <c r="AC182">
        <v>1</v>
      </c>
    </row>
    <row r="183" spans="1:29" x14ac:dyDescent="0.55000000000000004">
      <c r="A183" t="s">
        <v>10</v>
      </c>
      <c r="B183" t="str">
        <f>貼付!$G$2&amp;マスタ登録抽出!A183</f>
        <v>4516552522125-2</v>
      </c>
      <c r="AC183">
        <v>2</v>
      </c>
    </row>
    <row r="184" spans="1:29" x14ac:dyDescent="0.55000000000000004">
      <c r="A184" t="s">
        <v>11</v>
      </c>
      <c r="B184" t="str">
        <f>貼付!$G$2&amp;マスタ登録抽出!A184</f>
        <v>4516552522125-3</v>
      </c>
      <c r="AC184">
        <v>3</v>
      </c>
    </row>
    <row r="185" spans="1:29" x14ac:dyDescent="0.55000000000000004">
      <c r="A185" t="s">
        <v>12</v>
      </c>
      <c r="B185" t="str">
        <f>貼付!$G$2&amp;マスタ登録抽出!A185</f>
        <v>4516552522125-4</v>
      </c>
      <c r="AC185">
        <v>4</v>
      </c>
    </row>
    <row r="186" spans="1:29" x14ac:dyDescent="0.55000000000000004">
      <c r="A186" t="s">
        <v>13</v>
      </c>
      <c r="B186" t="str">
        <f>貼付!$G$2&amp;マスタ登録抽出!A186</f>
        <v>4516552522125-5</v>
      </c>
      <c r="AC186">
        <v>5</v>
      </c>
    </row>
    <row r="187" spans="1:29" x14ac:dyDescent="0.55000000000000004">
      <c r="A187" t="s">
        <v>14</v>
      </c>
      <c r="B187" t="str">
        <f>貼付!$G$2&amp;マスタ登録抽出!A187</f>
        <v>4516552522125-6</v>
      </c>
      <c r="AC187">
        <v>6</v>
      </c>
    </row>
    <row r="188" spans="1:29" x14ac:dyDescent="0.55000000000000004">
      <c r="A188" t="s">
        <v>15</v>
      </c>
      <c r="B188" t="str">
        <f>貼付!$G$2&amp;マスタ登録抽出!A188</f>
        <v>4516552522125-7</v>
      </c>
      <c r="AC188">
        <v>7</v>
      </c>
    </row>
    <row r="189" spans="1:29" x14ac:dyDescent="0.55000000000000004">
      <c r="A189" t="s">
        <v>16</v>
      </c>
      <c r="B189" t="str">
        <f>貼付!$G$2&amp;マスタ登録抽出!A189</f>
        <v>4516552522125-8</v>
      </c>
      <c r="AC189">
        <v>8</v>
      </c>
    </row>
    <row r="190" spans="1:29" x14ac:dyDescent="0.55000000000000004">
      <c r="A190" t="s">
        <v>17</v>
      </c>
      <c r="B190" t="str">
        <f>貼付!$G$2&amp;マスタ登録抽出!A190</f>
        <v>4516552522125-9</v>
      </c>
      <c r="AC190">
        <v>9</v>
      </c>
    </row>
    <row r="191" spans="1:29" x14ac:dyDescent="0.55000000000000004">
      <c r="A191" t="s">
        <v>18</v>
      </c>
      <c r="B191" t="str">
        <f>貼付!$G$2&amp;マスタ登録抽出!A191</f>
        <v>4516552522125-10</v>
      </c>
      <c r="AC191">
        <v>10</v>
      </c>
    </row>
    <row r="192" spans="1:29" x14ac:dyDescent="0.55000000000000004">
      <c r="A192" t="s">
        <v>9</v>
      </c>
      <c r="B192" t="str">
        <f>貼付!$G$2&amp;マスタ登録抽出!A192</f>
        <v>4516552522125-1</v>
      </c>
      <c r="AC192">
        <v>1</v>
      </c>
    </row>
    <row r="193" spans="1:29" x14ac:dyDescent="0.55000000000000004">
      <c r="A193" t="s">
        <v>10</v>
      </c>
      <c r="B193" t="str">
        <f>貼付!$G$2&amp;マスタ登録抽出!A193</f>
        <v>4516552522125-2</v>
      </c>
      <c r="AC193">
        <v>2</v>
      </c>
    </row>
    <row r="194" spans="1:29" x14ac:dyDescent="0.55000000000000004">
      <c r="A194" t="s">
        <v>11</v>
      </c>
      <c r="B194" t="str">
        <f>貼付!$G$2&amp;マスタ登録抽出!A194</f>
        <v>4516552522125-3</v>
      </c>
      <c r="AC194">
        <v>3</v>
      </c>
    </row>
    <row r="195" spans="1:29" x14ac:dyDescent="0.55000000000000004">
      <c r="A195" t="s">
        <v>12</v>
      </c>
      <c r="B195" t="str">
        <f>貼付!$G$2&amp;マスタ登録抽出!A195</f>
        <v>4516552522125-4</v>
      </c>
      <c r="AC195">
        <v>4</v>
      </c>
    </row>
    <row r="196" spans="1:29" x14ac:dyDescent="0.55000000000000004">
      <c r="A196" t="s">
        <v>13</v>
      </c>
      <c r="B196" t="str">
        <f>貼付!$G$2&amp;マスタ登録抽出!A196</f>
        <v>4516552522125-5</v>
      </c>
      <c r="AC196">
        <v>5</v>
      </c>
    </row>
    <row r="197" spans="1:29" x14ac:dyDescent="0.55000000000000004">
      <c r="A197" t="s">
        <v>14</v>
      </c>
      <c r="B197" t="str">
        <f>貼付!$G$2&amp;マスタ登録抽出!A197</f>
        <v>4516552522125-6</v>
      </c>
      <c r="AC197">
        <v>6</v>
      </c>
    </row>
    <row r="198" spans="1:29" x14ac:dyDescent="0.55000000000000004">
      <c r="A198" t="s">
        <v>15</v>
      </c>
      <c r="B198" t="str">
        <f>貼付!$G$2&amp;マスタ登録抽出!A198</f>
        <v>4516552522125-7</v>
      </c>
      <c r="AC198">
        <v>7</v>
      </c>
    </row>
    <row r="199" spans="1:29" x14ac:dyDescent="0.55000000000000004">
      <c r="A199" t="s">
        <v>16</v>
      </c>
      <c r="B199" t="str">
        <f>貼付!$G$2&amp;マスタ登録抽出!A199</f>
        <v>4516552522125-8</v>
      </c>
      <c r="AC199">
        <v>8</v>
      </c>
    </row>
    <row r="200" spans="1:29" x14ac:dyDescent="0.55000000000000004">
      <c r="A200" t="s">
        <v>17</v>
      </c>
      <c r="B200" t="str">
        <f>貼付!$G$2&amp;マスタ登録抽出!A200</f>
        <v>4516552522125-9</v>
      </c>
      <c r="AC200">
        <v>9</v>
      </c>
    </row>
    <row r="201" spans="1:29" x14ac:dyDescent="0.55000000000000004">
      <c r="A201" t="s">
        <v>18</v>
      </c>
      <c r="B201" t="str">
        <f>貼付!$G$2&amp;マスタ登録抽出!A201</f>
        <v>4516552522125-10</v>
      </c>
      <c r="AC201">
        <v>10</v>
      </c>
    </row>
    <row r="202" spans="1:29" x14ac:dyDescent="0.55000000000000004">
      <c r="A202" t="s">
        <v>9</v>
      </c>
      <c r="B202" t="str">
        <f>貼付!$G$2&amp;マスタ登録抽出!A202</f>
        <v>4516552522125-1</v>
      </c>
      <c r="AC202">
        <v>1</v>
      </c>
    </row>
    <row r="203" spans="1:29" x14ac:dyDescent="0.55000000000000004">
      <c r="A203" t="s">
        <v>10</v>
      </c>
      <c r="B203" t="str">
        <f>貼付!$G$2&amp;マスタ登録抽出!A203</f>
        <v>4516552522125-2</v>
      </c>
      <c r="AC203">
        <v>2</v>
      </c>
    </row>
    <row r="204" spans="1:29" x14ac:dyDescent="0.55000000000000004">
      <c r="A204" t="s">
        <v>11</v>
      </c>
      <c r="B204" t="str">
        <f>貼付!$G$2&amp;マスタ登録抽出!A204</f>
        <v>4516552522125-3</v>
      </c>
      <c r="AC204">
        <v>3</v>
      </c>
    </row>
    <row r="205" spans="1:29" x14ac:dyDescent="0.55000000000000004">
      <c r="A205" t="s">
        <v>12</v>
      </c>
      <c r="B205" t="str">
        <f>貼付!$G$2&amp;マスタ登録抽出!A205</f>
        <v>4516552522125-4</v>
      </c>
      <c r="AC205">
        <v>4</v>
      </c>
    </row>
    <row r="206" spans="1:29" x14ac:dyDescent="0.55000000000000004">
      <c r="A206" t="s">
        <v>13</v>
      </c>
      <c r="B206" t="str">
        <f>貼付!$G$2&amp;マスタ登録抽出!A206</f>
        <v>4516552522125-5</v>
      </c>
      <c r="AC206">
        <v>5</v>
      </c>
    </row>
    <row r="207" spans="1:29" x14ac:dyDescent="0.55000000000000004">
      <c r="A207" t="s">
        <v>14</v>
      </c>
      <c r="B207" t="str">
        <f>貼付!$G$2&amp;マスタ登録抽出!A207</f>
        <v>4516552522125-6</v>
      </c>
      <c r="AC207">
        <v>6</v>
      </c>
    </row>
    <row r="208" spans="1:29" x14ac:dyDescent="0.55000000000000004">
      <c r="A208" t="s">
        <v>15</v>
      </c>
      <c r="B208" t="str">
        <f>貼付!$G$2&amp;マスタ登録抽出!A208</f>
        <v>4516552522125-7</v>
      </c>
      <c r="AC208">
        <v>7</v>
      </c>
    </row>
    <row r="209" spans="1:29" x14ac:dyDescent="0.55000000000000004">
      <c r="A209" t="s">
        <v>16</v>
      </c>
      <c r="B209" t="str">
        <f>貼付!$G$2&amp;マスタ登録抽出!A209</f>
        <v>4516552522125-8</v>
      </c>
      <c r="AC209">
        <v>8</v>
      </c>
    </row>
    <row r="210" spans="1:29" x14ac:dyDescent="0.55000000000000004">
      <c r="A210" t="s">
        <v>17</v>
      </c>
      <c r="B210" t="str">
        <f>貼付!$G$2&amp;マスタ登録抽出!A210</f>
        <v>4516552522125-9</v>
      </c>
      <c r="AC210">
        <v>9</v>
      </c>
    </row>
    <row r="211" spans="1:29" x14ac:dyDescent="0.55000000000000004">
      <c r="A211" t="s">
        <v>18</v>
      </c>
      <c r="B211" t="str">
        <f>貼付!$G$2&amp;マスタ登録抽出!A211</f>
        <v>4516552522125-10</v>
      </c>
      <c r="AC211">
        <v>10</v>
      </c>
    </row>
    <row r="212" spans="1:29" x14ac:dyDescent="0.55000000000000004">
      <c r="A212" t="s">
        <v>9</v>
      </c>
      <c r="B212" t="str">
        <f>貼付!$G$2&amp;マスタ登録抽出!A212</f>
        <v>4516552522125-1</v>
      </c>
      <c r="AC212">
        <v>1</v>
      </c>
    </row>
    <row r="213" spans="1:29" x14ac:dyDescent="0.55000000000000004">
      <c r="A213" t="s">
        <v>10</v>
      </c>
      <c r="B213" t="str">
        <f>貼付!$G$2&amp;マスタ登録抽出!A213</f>
        <v>4516552522125-2</v>
      </c>
      <c r="AC213">
        <v>2</v>
      </c>
    </row>
    <row r="214" spans="1:29" x14ac:dyDescent="0.55000000000000004">
      <c r="A214" t="s">
        <v>11</v>
      </c>
      <c r="B214" t="str">
        <f>貼付!$G$2&amp;マスタ登録抽出!A214</f>
        <v>4516552522125-3</v>
      </c>
      <c r="AC214">
        <v>3</v>
      </c>
    </row>
    <row r="215" spans="1:29" x14ac:dyDescent="0.55000000000000004">
      <c r="A215" t="s">
        <v>12</v>
      </c>
      <c r="B215" t="str">
        <f>貼付!$G$2&amp;マスタ登録抽出!A215</f>
        <v>4516552522125-4</v>
      </c>
      <c r="AC215">
        <v>4</v>
      </c>
    </row>
    <row r="216" spans="1:29" x14ac:dyDescent="0.55000000000000004">
      <c r="A216" t="s">
        <v>13</v>
      </c>
      <c r="B216" t="str">
        <f>貼付!$G$2&amp;マスタ登録抽出!A216</f>
        <v>4516552522125-5</v>
      </c>
      <c r="AC216">
        <v>5</v>
      </c>
    </row>
    <row r="217" spans="1:29" x14ac:dyDescent="0.55000000000000004">
      <c r="A217" t="s">
        <v>14</v>
      </c>
      <c r="B217" t="str">
        <f>貼付!$G$2&amp;マスタ登録抽出!A217</f>
        <v>4516552522125-6</v>
      </c>
      <c r="AC217">
        <v>6</v>
      </c>
    </row>
    <row r="218" spans="1:29" x14ac:dyDescent="0.55000000000000004">
      <c r="A218" t="s">
        <v>15</v>
      </c>
      <c r="B218" t="str">
        <f>貼付!$G$2&amp;マスタ登録抽出!A218</f>
        <v>4516552522125-7</v>
      </c>
      <c r="AC218">
        <v>7</v>
      </c>
    </row>
    <row r="219" spans="1:29" x14ac:dyDescent="0.55000000000000004">
      <c r="A219" t="s">
        <v>16</v>
      </c>
      <c r="B219" t="str">
        <f>貼付!$G$2&amp;マスタ登録抽出!A219</f>
        <v>4516552522125-8</v>
      </c>
      <c r="AC219">
        <v>8</v>
      </c>
    </row>
    <row r="220" spans="1:29" x14ac:dyDescent="0.55000000000000004">
      <c r="A220" t="s">
        <v>17</v>
      </c>
      <c r="B220" t="str">
        <f>貼付!$G$2&amp;マスタ登録抽出!A220</f>
        <v>4516552522125-9</v>
      </c>
      <c r="AC220">
        <v>9</v>
      </c>
    </row>
    <row r="221" spans="1:29" x14ac:dyDescent="0.55000000000000004">
      <c r="A221" t="s">
        <v>18</v>
      </c>
      <c r="B221" t="str">
        <f>貼付!$G$2&amp;マスタ登録抽出!A221</f>
        <v>4516552522125-10</v>
      </c>
      <c r="AC221">
        <v>10</v>
      </c>
    </row>
    <row r="222" spans="1:29" x14ac:dyDescent="0.55000000000000004">
      <c r="A222" t="s">
        <v>9</v>
      </c>
      <c r="B222" t="str">
        <f>貼付!$G$2&amp;マスタ登録抽出!A222</f>
        <v>4516552522125-1</v>
      </c>
      <c r="AC222">
        <v>1</v>
      </c>
    </row>
    <row r="223" spans="1:29" x14ac:dyDescent="0.55000000000000004">
      <c r="A223" t="s">
        <v>10</v>
      </c>
      <c r="B223" t="str">
        <f>貼付!$G$2&amp;マスタ登録抽出!A223</f>
        <v>4516552522125-2</v>
      </c>
      <c r="AC223">
        <v>2</v>
      </c>
    </row>
    <row r="224" spans="1:29" x14ac:dyDescent="0.55000000000000004">
      <c r="A224" t="s">
        <v>11</v>
      </c>
      <c r="B224" t="str">
        <f>貼付!$G$2&amp;マスタ登録抽出!A224</f>
        <v>4516552522125-3</v>
      </c>
      <c r="AC224">
        <v>3</v>
      </c>
    </row>
    <row r="225" spans="1:29" x14ac:dyDescent="0.55000000000000004">
      <c r="A225" t="s">
        <v>12</v>
      </c>
      <c r="B225" t="str">
        <f>貼付!$G$2&amp;マスタ登録抽出!A225</f>
        <v>4516552522125-4</v>
      </c>
      <c r="AC225">
        <v>4</v>
      </c>
    </row>
    <row r="226" spans="1:29" x14ac:dyDescent="0.55000000000000004">
      <c r="A226" t="s">
        <v>13</v>
      </c>
      <c r="B226" t="str">
        <f>貼付!$G$2&amp;マスタ登録抽出!A226</f>
        <v>4516552522125-5</v>
      </c>
      <c r="AC226">
        <v>5</v>
      </c>
    </row>
    <row r="227" spans="1:29" x14ac:dyDescent="0.55000000000000004">
      <c r="A227" t="s">
        <v>14</v>
      </c>
      <c r="B227" t="str">
        <f>貼付!$G$2&amp;マスタ登録抽出!A227</f>
        <v>4516552522125-6</v>
      </c>
      <c r="AC227">
        <v>6</v>
      </c>
    </row>
    <row r="228" spans="1:29" x14ac:dyDescent="0.55000000000000004">
      <c r="A228" t="s">
        <v>15</v>
      </c>
      <c r="B228" t="str">
        <f>貼付!$G$2&amp;マスタ登録抽出!A228</f>
        <v>4516552522125-7</v>
      </c>
      <c r="AC228">
        <v>7</v>
      </c>
    </row>
    <row r="229" spans="1:29" x14ac:dyDescent="0.55000000000000004">
      <c r="A229" t="s">
        <v>16</v>
      </c>
      <c r="B229" t="str">
        <f>貼付!$G$2&amp;マスタ登録抽出!A229</f>
        <v>4516552522125-8</v>
      </c>
      <c r="AC229">
        <v>8</v>
      </c>
    </row>
    <row r="230" spans="1:29" x14ac:dyDescent="0.55000000000000004">
      <c r="A230" t="s">
        <v>17</v>
      </c>
      <c r="B230" t="str">
        <f>貼付!$G$2&amp;マスタ登録抽出!A230</f>
        <v>4516552522125-9</v>
      </c>
      <c r="AC230">
        <v>9</v>
      </c>
    </row>
    <row r="231" spans="1:29" x14ac:dyDescent="0.55000000000000004">
      <c r="A231" t="s">
        <v>18</v>
      </c>
      <c r="B231" t="str">
        <f>貼付!$G$2&amp;マスタ登録抽出!A231</f>
        <v>4516552522125-10</v>
      </c>
      <c r="AC231">
        <v>10</v>
      </c>
    </row>
    <row r="232" spans="1:29" x14ac:dyDescent="0.55000000000000004">
      <c r="A232" t="s">
        <v>9</v>
      </c>
      <c r="B232" t="str">
        <f>貼付!$G$2&amp;マスタ登録抽出!A232</f>
        <v>4516552522125-1</v>
      </c>
      <c r="AC232">
        <v>1</v>
      </c>
    </row>
    <row r="233" spans="1:29" x14ac:dyDescent="0.55000000000000004">
      <c r="A233" t="s">
        <v>10</v>
      </c>
      <c r="B233" t="str">
        <f>貼付!$G$2&amp;マスタ登録抽出!A233</f>
        <v>4516552522125-2</v>
      </c>
      <c r="AC233">
        <v>2</v>
      </c>
    </row>
    <row r="234" spans="1:29" x14ac:dyDescent="0.55000000000000004">
      <c r="A234" t="s">
        <v>11</v>
      </c>
      <c r="B234" t="str">
        <f>貼付!$G$2&amp;マスタ登録抽出!A234</f>
        <v>4516552522125-3</v>
      </c>
      <c r="AC234">
        <v>3</v>
      </c>
    </row>
    <row r="235" spans="1:29" x14ac:dyDescent="0.55000000000000004">
      <c r="A235" t="s">
        <v>12</v>
      </c>
      <c r="B235" t="str">
        <f>貼付!$G$2&amp;マスタ登録抽出!A235</f>
        <v>4516552522125-4</v>
      </c>
      <c r="AC235">
        <v>4</v>
      </c>
    </row>
    <row r="236" spans="1:29" x14ac:dyDescent="0.55000000000000004">
      <c r="A236" t="s">
        <v>13</v>
      </c>
      <c r="B236" t="str">
        <f>貼付!$G$2&amp;マスタ登録抽出!A236</f>
        <v>4516552522125-5</v>
      </c>
      <c r="AC236">
        <v>5</v>
      </c>
    </row>
    <row r="237" spans="1:29" x14ac:dyDescent="0.55000000000000004">
      <c r="A237" t="s">
        <v>14</v>
      </c>
      <c r="B237" t="str">
        <f>貼付!$G$2&amp;マスタ登録抽出!A237</f>
        <v>4516552522125-6</v>
      </c>
      <c r="AC237">
        <v>6</v>
      </c>
    </row>
    <row r="238" spans="1:29" x14ac:dyDescent="0.55000000000000004">
      <c r="A238" t="s">
        <v>15</v>
      </c>
      <c r="B238" t="str">
        <f>貼付!$G$2&amp;マスタ登録抽出!A238</f>
        <v>4516552522125-7</v>
      </c>
      <c r="AC238">
        <v>7</v>
      </c>
    </row>
    <row r="239" spans="1:29" x14ac:dyDescent="0.55000000000000004">
      <c r="A239" t="s">
        <v>16</v>
      </c>
      <c r="B239" t="str">
        <f>貼付!$G$2&amp;マスタ登録抽出!A239</f>
        <v>4516552522125-8</v>
      </c>
      <c r="AC239">
        <v>8</v>
      </c>
    </row>
    <row r="240" spans="1:29" x14ac:dyDescent="0.55000000000000004">
      <c r="A240" t="s">
        <v>17</v>
      </c>
      <c r="B240" t="str">
        <f>貼付!$G$2&amp;マスタ登録抽出!A240</f>
        <v>4516552522125-9</v>
      </c>
      <c r="AC240">
        <v>9</v>
      </c>
    </row>
    <row r="241" spans="1:29" x14ac:dyDescent="0.55000000000000004">
      <c r="A241" t="s">
        <v>18</v>
      </c>
      <c r="B241" t="str">
        <f>貼付!$G$2&amp;マスタ登録抽出!A241</f>
        <v>4516552522125-10</v>
      </c>
      <c r="AC241">
        <v>10</v>
      </c>
    </row>
    <row r="242" spans="1:29" x14ac:dyDescent="0.55000000000000004">
      <c r="A242" t="s">
        <v>9</v>
      </c>
      <c r="B242" t="str">
        <f>貼付!$G$2&amp;マスタ登録抽出!A242</f>
        <v>4516552522125-1</v>
      </c>
      <c r="AC242">
        <v>1</v>
      </c>
    </row>
    <row r="243" spans="1:29" x14ac:dyDescent="0.55000000000000004">
      <c r="A243" t="s">
        <v>10</v>
      </c>
      <c r="B243" t="str">
        <f>貼付!$G$2&amp;マスタ登録抽出!A243</f>
        <v>4516552522125-2</v>
      </c>
      <c r="AC243">
        <v>2</v>
      </c>
    </row>
    <row r="244" spans="1:29" x14ac:dyDescent="0.55000000000000004">
      <c r="A244" t="s">
        <v>11</v>
      </c>
      <c r="B244" t="str">
        <f>貼付!$G$2&amp;マスタ登録抽出!A244</f>
        <v>4516552522125-3</v>
      </c>
      <c r="AC244">
        <v>3</v>
      </c>
    </row>
    <row r="245" spans="1:29" x14ac:dyDescent="0.55000000000000004">
      <c r="A245" t="s">
        <v>12</v>
      </c>
      <c r="B245" t="str">
        <f>貼付!$G$2&amp;マスタ登録抽出!A245</f>
        <v>4516552522125-4</v>
      </c>
      <c r="AC245">
        <v>4</v>
      </c>
    </row>
    <row r="246" spans="1:29" x14ac:dyDescent="0.55000000000000004">
      <c r="A246" t="s">
        <v>13</v>
      </c>
      <c r="B246" t="str">
        <f>貼付!$G$2&amp;マスタ登録抽出!A246</f>
        <v>4516552522125-5</v>
      </c>
      <c r="AC246">
        <v>5</v>
      </c>
    </row>
    <row r="247" spans="1:29" x14ac:dyDescent="0.55000000000000004">
      <c r="A247" t="s">
        <v>14</v>
      </c>
      <c r="B247" t="str">
        <f>貼付!$G$2&amp;マスタ登録抽出!A247</f>
        <v>4516552522125-6</v>
      </c>
      <c r="AC247">
        <v>6</v>
      </c>
    </row>
    <row r="248" spans="1:29" x14ac:dyDescent="0.55000000000000004">
      <c r="A248" t="s">
        <v>15</v>
      </c>
      <c r="B248" t="str">
        <f>貼付!$G$2&amp;マスタ登録抽出!A248</f>
        <v>4516552522125-7</v>
      </c>
      <c r="AC248">
        <v>7</v>
      </c>
    </row>
    <row r="249" spans="1:29" x14ac:dyDescent="0.55000000000000004">
      <c r="A249" t="s">
        <v>16</v>
      </c>
      <c r="B249" t="str">
        <f>貼付!$G$2&amp;マスタ登録抽出!A249</f>
        <v>4516552522125-8</v>
      </c>
      <c r="AC249">
        <v>8</v>
      </c>
    </row>
    <row r="250" spans="1:29" x14ac:dyDescent="0.55000000000000004">
      <c r="A250" t="s">
        <v>17</v>
      </c>
      <c r="B250" t="str">
        <f>貼付!$G$2&amp;マスタ登録抽出!A250</f>
        <v>4516552522125-9</v>
      </c>
      <c r="AC250">
        <v>9</v>
      </c>
    </row>
    <row r="251" spans="1:29" x14ac:dyDescent="0.55000000000000004">
      <c r="A251" t="s">
        <v>18</v>
      </c>
      <c r="B251" t="str">
        <f>貼付!$G$2&amp;マスタ登録抽出!A251</f>
        <v>4516552522125-10</v>
      </c>
      <c r="AC251">
        <v>10</v>
      </c>
    </row>
    <row r="252" spans="1:29" x14ac:dyDescent="0.55000000000000004">
      <c r="A252" t="s">
        <v>9</v>
      </c>
      <c r="B252" t="str">
        <f>貼付!$G$2&amp;マスタ登録抽出!A252</f>
        <v>4516552522125-1</v>
      </c>
      <c r="AC252">
        <v>1</v>
      </c>
    </row>
    <row r="253" spans="1:29" x14ac:dyDescent="0.55000000000000004">
      <c r="A253" t="s">
        <v>10</v>
      </c>
      <c r="B253" t="str">
        <f>貼付!$G$2&amp;マスタ登録抽出!A253</f>
        <v>4516552522125-2</v>
      </c>
      <c r="AC253">
        <v>2</v>
      </c>
    </row>
    <row r="254" spans="1:29" x14ac:dyDescent="0.55000000000000004">
      <c r="A254" t="s">
        <v>11</v>
      </c>
      <c r="B254" t="str">
        <f>貼付!$G$2&amp;マスタ登録抽出!A254</f>
        <v>4516552522125-3</v>
      </c>
      <c r="AC254">
        <v>3</v>
      </c>
    </row>
    <row r="255" spans="1:29" x14ac:dyDescent="0.55000000000000004">
      <c r="A255" t="s">
        <v>12</v>
      </c>
      <c r="B255" t="str">
        <f>貼付!$G$2&amp;マスタ登録抽出!A255</f>
        <v>4516552522125-4</v>
      </c>
      <c r="AC255">
        <v>4</v>
      </c>
    </row>
    <row r="256" spans="1:29" x14ac:dyDescent="0.55000000000000004">
      <c r="A256" t="s">
        <v>13</v>
      </c>
      <c r="B256" t="str">
        <f>貼付!$G$2&amp;マスタ登録抽出!A256</f>
        <v>4516552522125-5</v>
      </c>
      <c r="AC256">
        <v>5</v>
      </c>
    </row>
    <row r="257" spans="1:29" x14ac:dyDescent="0.55000000000000004">
      <c r="A257" t="s">
        <v>14</v>
      </c>
      <c r="B257" t="str">
        <f>貼付!$G$2&amp;マスタ登録抽出!A257</f>
        <v>4516552522125-6</v>
      </c>
      <c r="AC257">
        <v>6</v>
      </c>
    </row>
    <row r="258" spans="1:29" x14ac:dyDescent="0.55000000000000004">
      <c r="A258" t="s">
        <v>15</v>
      </c>
      <c r="B258" t="str">
        <f>貼付!$G$2&amp;マスタ登録抽出!A258</f>
        <v>4516552522125-7</v>
      </c>
      <c r="AC258">
        <v>7</v>
      </c>
    </row>
    <row r="259" spans="1:29" x14ac:dyDescent="0.55000000000000004">
      <c r="A259" t="s">
        <v>16</v>
      </c>
      <c r="B259" t="str">
        <f>貼付!$G$2&amp;マスタ登録抽出!A259</f>
        <v>4516552522125-8</v>
      </c>
      <c r="AC259">
        <v>8</v>
      </c>
    </row>
    <row r="260" spans="1:29" x14ac:dyDescent="0.55000000000000004">
      <c r="A260" t="s">
        <v>17</v>
      </c>
      <c r="B260" t="str">
        <f>貼付!$G$2&amp;マスタ登録抽出!A260</f>
        <v>4516552522125-9</v>
      </c>
      <c r="AC260">
        <v>9</v>
      </c>
    </row>
    <row r="261" spans="1:29" x14ac:dyDescent="0.55000000000000004">
      <c r="A261" t="s">
        <v>18</v>
      </c>
      <c r="B261" t="str">
        <f>貼付!$G$2&amp;マスタ登録抽出!A261</f>
        <v>4516552522125-10</v>
      </c>
      <c r="AC261">
        <v>10</v>
      </c>
    </row>
    <row r="262" spans="1:29" x14ac:dyDescent="0.55000000000000004">
      <c r="A262" t="s">
        <v>9</v>
      </c>
      <c r="B262" t="str">
        <f>貼付!$G$2&amp;マスタ登録抽出!A262</f>
        <v>4516552522125-1</v>
      </c>
      <c r="AC262">
        <v>1</v>
      </c>
    </row>
    <row r="263" spans="1:29" x14ac:dyDescent="0.55000000000000004">
      <c r="A263" t="s">
        <v>10</v>
      </c>
      <c r="B263" t="str">
        <f>貼付!$G$2&amp;マスタ登録抽出!A263</f>
        <v>4516552522125-2</v>
      </c>
      <c r="AC263">
        <v>2</v>
      </c>
    </row>
    <row r="264" spans="1:29" x14ac:dyDescent="0.55000000000000004">
      <c r="A264" t="s">
        <v>11</v>
      </c>
      <c r="B264" t="str">
        <f>貼付!$G$2&amp;マスタ登録抽出!A264</f>
        <v>4516552522125-3</v>
      </c>
      <c r="AC264">
        <v>3</v>
      </c>
    </row>
    <row r="265" spans="1:29" x14ac:dyDescent="0.55000000000000004">
      <c r="A265" t="s">
        <v>12</v>
      </c>
      <c r="B265" t="str">
        <f>貼付!$G$2&amp;マスタ登録抽出!A265</f>
        <v>4516552522125-4</v>
      </c>
      <c r="AC265">
        <v>4</v>
      </c>
    </row>
    <row r="266" spans="1:29" x14ac:dyDescent="0.55000000000000004">
      <c r="A266" t="s">
        <v>13</v>
      </c>
      <c r="B266" t="str">
        <f>貼付!$G$2&amp;マスタ登録抽出!A266</f>
        <v>4516552522125-5</v>
      </c>
      <c r="AC266">
        <v>5</v>
      </c>
    </row>
    <row r="267" spans="1:29" x14ac:dyDescent="0.55000000000000004">
      <c r="A267" t="s">
        <v>14</v>
      </c>
      <c r="B267" t="str">
        <f>貼付!$G$2&amp;マスタ登録抽出!A267</f>
        <v>4516552522125-6</v>
      </c>
      <c r="AC267">
        <v>6</v>
      </c>
    </row>
    <row r="268" spans="1:29" x14ac:dyDescent="0.55000000000000004">
      <c r="A268" t="s">
        <v>15</v>
      </c>
      <c r="B268" t="str">
        <f>貼付!$G$2&amp;マスタ登録抽出!A268</f>
        <v>4516552522125-7</v>
      </c>
      <c r="AC268">
        <v>7</v>
      </c>
    </row>
    <row r="269" spans="1:29" x14ac:dyDescent="0.55000000000000004">
      <c r="A269" t="s">
        <v>16</v>
      </c>
      <c r="B269" t="str">
        <f>貼付!$G$2&amp;マスタ登録抽出!A269</f>
        <v>4516552522125-8</v>
      </c>
      <c r="AC269">
        <v>8</v>
      </c>
    </row>
    <row r="270" spans="1:29" x14ac:dyDescent="0.55000000000000004">
      <c r="A270" t="s">
        <v>17</v>
      </c>
      <c r="B270" t="str">
        <f>貼付!$G$2&amp;マスタ登録抽出!A270</f>
        <v>4516552522125-9</v>
      </c>
      <c r="AC270">
        <v>9</v>
      </c>
    </row>
    <row r="271" spans="1:29" x14ac:dyDescent="0.55000000000000004">
      <c r="A271" t="s">
        <v>18</v>
      </c>
      <c r="B271" t="str">
        <f>貼付!$G$2&amp;マスタ登録抽出!A271</f>
        <v>4516552522125-10</v>
      </c>
      <c r="AC271">
        <v>10</v>
      </c>
    </row>
    <row r="272" spans="1:29" x14ac:dyDescent="0.55000000000000004">
      <c r="A272" t="s">
        <v>9</v>
      </c>
      <c r="B272" t="str">
        <f>貼付!$G$2&amp;マスタ登録抽出!A272</f>
        <v>4516552522125-1</v>
      </c>
      <c r="AC272">
        <v>1</v>
      </c>
    </row>
    <row r="273" spans="1:29" x14ac:dyDescent="0.55000000000000004">
      <c r="A273" t="s">
        <v>10</v>
      </c>
      <c r="B273" t="str">
        <f>貼付!$G$2&amp;マスタ登録抽出!A273</f>
        <v>4516552522125-2</v>
      </c>
      <c r="AC273">
        <v>2</v>
      </c>
    </row>
    <row r="274" spans="1:29" x14ac:dyDescent="0.55000000000000004">
      <c r="A274" t="s">
        <v>11</v>
      </c>
      <c r="B274" t="str">
        <f>貼付!$G$2&amp;マスタ登録抽出!A274</f>
        <v>4516552522125-3</v>
      </c>
      <c r="AC274">
        <v>3</v>
      </c>
    </row>
    <row r="275" spans="1:29" x14ac:dyDescent="0.55000000000000004">
      <c r="A275" t="s">
        <v>12</v>
      </c>
      <c r="B275" t="str">
        <f>貼付!$G$2&amp;マスタ登録抽出!A275</f>
        <v>4516552522125-4</v>
      </c>
      <c r="AC275">
        <v>4</v>
      </c>
    </row>
    <row r="276" spans="1:29" x14ac:dyDescent="0.55000000000000004">
      <c r="A276" t="s">
        <v>13</v>
      </c>
      <c r="B276" t="str">
        <f>貼付!$G$2&amp;マスタ登録抽出!A276</f>
        <v>4516552522125-5</v>
      </c>
      <c r="AC276">
        <v>5</v>
      </c>
    </row>
    <row r="277" spans="1:29" x14ac:dyDescent="0.55000000000000004">
      <c r="A277" t="s">
        <v>14</v>
      </c>
      <c r="B277" t="str">
        <f>貼付!$G$2&amp;マスタ登録抽出!A277</f>
        <v>4516552522125-6</v>
      </c>
      <c r="AC277">
        <v>6</v>
      </c>
    </row>
    <row r="278" spans="1:29" x14ac:dyDescent="0.55000000000000004">
      <c r="A278" t="s">
        <v>15</v>
      </c>
      <c r="B278" t="str">
        <f>貼付!$G$2&amp;マスタ登録抽出!A278</f>
        <v>4516552522125-7</v>
      </c>
      <c r="AC278">
        <v>7</v>
      </c>
    </row>
    <row r="279" spans="1:29" x14ac:dyDescent="0.55000000000000004">
      <c r="A279" t="s">
        <v>16</v>
      </c>
      <c r="B279" t="str">
        <f>貼付!$G$2&amp;マスタ登録抽出!A279</f>
        <v>4516552522125-8</v>
      </c>
      <c r="AC279">
        <v>8</v>
      </c>
    </row>
    <row r="280" spans="1:29" x14ac:dyDescent="0.55000000000000004">
      <c r="A280" t="s">
        <v>17</v>
      </c>
      <c r="B280" t="str">
        <f>貼付!$G$2&amp;マスタ登録抽出!A280</f>
        <v>4516552522125-9</v>
      </c>
      <c r="AC280">
        <v>9</v>
      </c>
    </row>
    <row r="281" spans="1:29" x14ac:dyDescent="0.55000000000000004">
      <c r="A281" t="s">
        <v>18</v>
      </c>
      <c r="B281" t="str">
        <f>貼付!$G$2&amp;マスタ登録抽出!A281</f>
        <v>4516552522125-10</v>
      </c>
      <c r="AC281">
        <v>10</v>
      </c>
    </row>
    <row r="282" spans="1:29" x14ac:dyDescent="0.55000000000000004">
      <c r="A282" t="s">
        <v>9</v>
      </c>
      <c r="B282" t="str">
        <f>貼付!$G$2&amp;マスタ登録抽出!A282</f>
        <v>4516552522125-1</v>
      </c>
      <c r="AC282">
        <v>1</v>
      </c>
    </row>
    <row r="283" spans="1:29" x14ac:dyDescent="0.55000000000000004">
      <c r="A283" t="s">
        <v>10</v>
      </c>
      <c r="B283" t="str">
        <f>貼付!$G$2&amp;マスタ登録抽出!A283</f>
        <v>4516552522125-2</v>
      </c>
      <c r="AC283">
        <v>2</v>
      </c>
    </row>
    <row r="284" spans="1:29" x14ac:dyDescent="0.55000000000000004">
      <c r="A284" t="s">
        <v>11</v>
      </c>
      <c r="B284" t="str">
        <f>貼付!$G$2&amp;マスタ登録抽出!A284</f>
        <v>4516552522125-3</v>
      </c>
      <c r="AC284">
        <v>3</v>
      </c>
    </row>
    <row r="285" spans="1:29" x14ac:dyDescent="0.55000000000000004">
      <c r="A285" t="s">
        <v>12</v>
      </c>
      <c r="B285" t="str">
        <f>貼付!$G$2&amp;マスタ登録抽出!A285</f>
        <v>4516552522125-4</v>
      </c>
      <c r="AC285">
        <v>4</v>
      </c>
    </row>
    <row r="286" spans="1:29" x14ac:dyDescent="0.55000000000000004">
      <c r="A286" t="s">
        <v>13</v>
      </c>
      <c r="B286" t="str">
        <f>貼付!$G$2&amp;マスタ登録抽出!A286</f>
        <v>4516552522125-5</v>
      </c>
      <c r="AC286">
        <v>5</v>
      </c>
    </row>
    <row r="287" spans="1:29" x14ac:dyDescent="0.55000000000000004">
      <c r="A287" t="s">
        <v>14</v>
      </c>
      <c r="B287" t="str">
        <f>貼付!$G$2&amp;マスタ登録抽出!A287</f>
        <v>4516552522125-6</v>
      </c>
      <c r="AC287">
        <v>6</v>
      </c>
    </row>
    <row r="288" spans="1:29" x14ac:dyDescent="0.55000000000000004">
      <c r="A288" t="s">
        <v>15</v>
      </c>
      <c r="B288" t="str">
        <f>貼付!$G$2&amp;マスタ登録抽出!A288</f>
        <v>4516552522125-7</v>
      </c>
      <c r="AC288">
        <v>7</v>
      </c>
    </row>
    <row r="289" spans="1:29" x14ac:dyDescent="0.55000000000000004">
      <c r="A289" t="s">
        <v>16</v>
      </c>
      <c r="B289" t="str">
        <f>貼付!$G$2&amp;マスタ登録抽出!A289</f>
        <v>4516552522125-8</v>
      </c>
      <c r="AC289">
        <v>8</v>
      </c>
    </row>
    <row r="290" spans="1:29" x14ac:dyDescent="0.55000000000000004">
      <c r="A290" t="s">
        <v>17</v>
      </c>
      <c r="B290" t="str">
        <f>貼付!$G$2&amp;マスタ登録抽出!A290</f>
        <v>4516552522125-9</v>
      </c>
      <c r="AC290">
        <v>9</v>
      </c>
    </row>
    <row r="291" spans="1:29" x14ac:dyDescent="0.55000000000000004">
      <c r="A291" t="s">
        <v>18</v>
      </c>
      <c r="B291" t="str">
        <f>貼付!$G$2&amp;マスタ登録抽出!A291</f>
        <v>4516552522125-10</v>
      </c>
      <c r="AC291">
        <v>10</v>
      </c>
    </row>
    <row r="292" spans="1:29" x14ac:dyDescent="0.55000000000000004">
      <c r="A292" t="s">
        <v>9</v>
      </c>
      <c r="B292" t="str">
        <f>貼付!$G$2&amp;マスタ登録抽出!A292</f>
        <v>4516552522125-1</v>
      </c>
      <c r="AC292">
        <v>1</v>
      </c>
    </row>
    <row r="293" spans="1:29" x14ac:dyDescent="0.55000000000000004">
      <c r="A293" t="s">
        <v>10</v>
      </c>
      <c r="B293" t="str">
        <f>貼付!$G$2&amp;マスタ登録抽出!A293</f>
        <v>4516552522125-2</v>
      </c>
      <c r="AC293">
        <v>2</v>
      </c>
    </row>
    <row r="294" spans="1:29" x14ac:dyDescent="0.55000000000000004">
      <c r="A294" t="s">
        <v>11</v>
      </c>
      <c r="B294" t="str">
        <f>貼付!$G$2&amp;マスタ登録抽出!A294</f>
        <v>4516552522125-3</v>
      </c>
      <c r="AC294">
        <v>3</v>
      </c>
    </row>
    <row r="295" spans="1:29" x14ac:dyDescent="0.55000000000000004">
      <c r="A295" t="s">
        <v>12</v>
      </c>
      <c r="B295" t="str">
        <f>貼付!$G$2&amp;マスタ登録抽出!A295</f>
        <v>4516552522125-4</v>
      </c>
      <c r="AC295">
        <v>4</v>
      </c>
    </row>
    <row r="296" spans="1:29" x14ac:dyDescent="0.55000000000000004">
      <c r="A296" t="s">
        <v>13</v>
      </c>
      <c r="B296" t="str">
        <f>貼付!$G$2&amp;マスタ登録抽出!A296</f>
        <v>4516552522125-5</v>
      </c>
      <c r="AC296">
        <v>5</v>
      </c>
    </row>
    <row r="297" spans="1:29" x14ac:dyDescent="0.55000000000000004">
      <c r="A297" t="s">
        <v>14</v>
      </c>
      <c r="B297" t="str">
        <f>貼付!$G$2&amp;マスタ登録抽出!A297</f>
        <v>4516552522125-6</v>
      </c>
      <c r="AC297">
        <v>6</v>
      </c>
    </row>
    <row r="298" spans="1:29" x14ac:dyDescent="0.55000000000000004">
      <c r="A298" t="s">
        <v>15</v>
      </c>
      <c r="B298" t="str">
        <f>貼付!$G$2&amp;マスタ登録抽出!A298</f>
        <v>4516552522125-7</v>
      </c>
      <c r="AC298">
        <v>7</v>
      </c>
    </row>
    <row r="299" spans="1:29" x14ac:dyDescent="0.55000000000000004">
      <c r="A299" t="s">
        <v>16</v>
      </c>
      <c r="B299" t="str">
        <f>貼付!$G$2&amp;マスタ登録抽出!A299</f>
        <v>4516552522125-8</v>
      </c>
      <c r="AC299">
        <v>8</v>
      </c>
    </row>
    <row r="300" spans="1:29" x14ac:dyDescent="0.55000000000000004">
      <c r="A300" t="s">
        <v>17</v>
      </c>
      <c r="B300" t="str">
        <f>貼付!$G$2&amp;マスタ登録抽出!A300</f>
        <v>4516552522125-9</v>
      </c>
      <c r="AC300">
        <v>9</v>
      </c>
    </row>
    <row r="301" spans="1:29" x14ac:dyDescent="0.55000000000000004">
      <c r="A301" t="s">
        <v>18</v>
      </c>
      <c r="B301" t="str">
        <f>貼付!$G$2&amp;マスタ登録抽出!A301</f>
        <v>4516552522125-10</v>
      </c>
      <c r="AC301">
        <v>10</v>
      </c>
    </row>
    <row r="302" spans="1:29" x14ac:dyDescent="0.55000000000000004">
      <c r="A302" t="s">
        <v>9</v>
      </c>
      <c r="B302" t="str">
        <f>貼付!$G$2&amp;マスタ登録抽出!A302</f>
        <v>4516552522125-1</v>
      </c>
      <c r="AC302">
        <v>1</v>
      </c>
    </row>
    <row r="303" spans="1:29" x14ac:dyDescent="0.55000000000000004">
      <c r="A303" t="s">
        <v>10</v>
      </c>
      <c r="B303" t="str">
        <f>貼付!$G$2&amp;マスタ登録抽出!A303</f>
        <v>4516552522125-2</v>
      </c>
      <c r="AC303">
        <v>2</v>
      </c>
    </row>
    <row r="304" spans="1:29" x14ac:dyDescent="0.55000000000000004">
      <c r="A304" t="s">
        <v>11</v>
      </c>
      <c r="B304" t="str">
        <f>貼付!$G$2&amp;マスタ登録抽出!A304</f>
        <v>4516552522125-3</v>
      </c>
      <c r="AC304">
        <v>3</v>
      </c>
    </row>
    <row r="305" spans="1:29" x14ac:dyDescent="0.55000000000000004">
      <c r="A305" t="s">
        <v>12</v>
      </c>
      <c r="B305" t="str">
        <f>貼付!$G$2&amp;マスタ登録抽出!A305</f>
        <v>4516552522125-4</v>
      </c>
      <c r="AC305">
        <v>4</v>
      </c>
    </row>
    <row r="306" spans="1:29" x14ac:dyDescent="0.55000000000000004">
      <c r="A306" t="s">
        <v>13</v>
      </c>
      <c r="B306" t="str">
        <f>貼付!$G$2&amp;マスタ登録抽出!A306</f>
        <v>4516552522125-5</v>
      </c>
      <c r="AC306">
        <v>5</v>
      </c>
    </row>
    <row r="307" spans="1:29" x14ac:dyDescent="0.55000000000000004">
      <c r="A307" t="s">
        <v>14</v>
      </c>
      <c r="B307" t="str">
        <f>貼付!$G$2&amp;マスタ登録抽出!A307</f>
        <v>4516552522125-6</v>
      </c>
      <c r="AC307">
        <v>6</v>
      </c>
    </row>
    <row r="308" spans="1:29" x14ac:dyDescent="0.55000000000000004">
      <c r="A308" t="s">
        <v>15</v>
      </c>
      <c r="B308" t="str">
        <f>貼付!$G$2&amp;マスタ登録抽出!A308</f>
        <v>4516552522125-7</v>
      </c>
      <c r="AC308">
        <v>7</v>
      </c>
    </row>
    <row r="309" spans="1:29" x14ac:dyDescent="0.55000000000000004">
      <c r="A309" t="s">
        <v>16</v>
      </c>
      <c r="B309" t="str">
        <f>貼付!$G$2&amp;マスタ登録抽出!A309</f>
        <v>4516552522125-8</v>
      </c>
      <c r="AC309">
        <v>8</v>
      </c>
    </row>
    <row r="310" spans="1:29" x14ac:dyDescent="0.55000000000000004">
      <c r="A310" t="s">
        <v>17</v>
      </c>
      <c r="B310" t="str">
        <f>貼付!$G$2&amp;マスタ登録抽出!A310</f>
        <v>4516552522125-9</v>
      </c>
      <c r="AC310">
        <v>9</v>
      </c>
    </row>
    <row r="311" spans="1:29" x14ac:dyDescent="0.55000000000000004">
      <c r="A311" t="s">
        <v>18</v>
      </c>
      <c r="B311" t="str">
        <f>貼付!$G$2&amp;マスタ登録抽出!A311</f>
        <v>4516552522125-10</v>
      </c>
      <c r="AC311">
        <v>10</v>
      </c>
    </row>
    <row r="312" spans="1:29" x14ac:dyDescent="0.55000000000000004">
      <c r="A312" t="s">
        <v>9</v>
      </c>
      <c r="B312" t="str">
        <f>貼付!$G$2&amp;マスタ登録抽出!A312</f>
        <v>4516552522125-1</v>
      </c>
      <c r="AC312">
        <v>1</v>
      </c>
    </row>
    <row r="313" spans="1:29" x14ac:dyDescent="0.55000000000000004">
      <c r="A313" t="s">
        <v>10</v>
      </c>
      <c r="B313" t="str">
        <f>貼付!$G$2&amp;マスタ登録抽出!A313</f>
        <v>4516552522125-2</v>
      </c>
      <c r="AC313">
        <v>2</v>
      </c>
    </row>
    <row r="314" spans="1:29" x14ac:dyDescent="0.55000000000000004">
      <c r="A314" t="s">
        <v>11</v>
      </c>
      <c r="B314" t="str">
        <f>貼付!$G$2&amp;マスタ登録抽出!A314</f>
        <v>4516552522125-3</v>
      </c>
      <c r="AC314">
        <v>3</v>
      </c>
    </row>
    <row r="315" spans="1:29" x14ac:dyDescent="0.55000000000000004">
      <c r="A315" t="s">
        <v>12</v>
      </c>
      <c r="B315" t="str">
        <f>貼付!$G$2&amp;マスタ登録抽出!A315</f>
        <v>4516552522125-4</v>
      </c>
      <c r="AC315">
        <v>4</v>
      </c>
    </row>
    <row r="316" spans="1:29" x14ac:dyDescent="0.55000000000000004">
      <c r="A316" t="s">
        <v>13</v>
      </c>
      <c r="B316" t="str">
        <f>貼付!$G$2&amp;マスタ登録抽出!A316</f>
        <v>4516552522125-5</v>
      </c>
      <c r="AC316">
        <v>5</v>
      </c>
    </row>
    <row r="317" spans="1:29" x14ac:dyDescent="0.55000000000000004">
      <c r="A317" t="s">
        <v>14</v>
      </c>
      <c r="B317" t="str">
        <f>貼付!$G$2&amp;マスタ登録抽出!A317</f>
        <v>4516552522125-6</v>
      </c>
      <c r="AC317">
        <v>6</v>
      </c>
    </row>
    <row r="318" spans="1:29" x14ac:dyDescent="0.55000000000000004">
      <c r="A318" t="s">
        <v>15</v>
      </c>
      <c r="B318" t="str">
        <f>貼付!$G$2&amp;マスタ登録抽出!A318</f>
        <v>4516552522125-7</v>
      </c>
      <c r="AC318">
        <v>7</v>
      </c>
    </row>
    <row r="319" spans="1:29" x14ac:dyDescent="0.55000000000000004">
      <c r="A319" t="s">
        <v>16</v>
      </c>
      <c r="B319" t="str">
        <f>貼付!$G$2&amp;マスタ登録抽出!A319</f>
        <v>4516552522125-8</v>
      </c>
      <c r="AC319">
        <v>8</v>
      </c>
    </row>
    <row r="320" spans="1:29" x14ac:dyDescent="0.55000000000000004">
      <c r="A320" t="s">
        <v>17</v>
      </c>
      <c r="B320" t="str">
        <f>貼付!$G$2&amp;マスタ登録抽出!A320</f>
        <v>4516552522125-9</v>
      </c>
      <c r="AC320">
        <v>9</v>
      </c>
    </row>
    <row r="321" spans="1:29" x14ac:dyDescent="0.55000000000000004">
      <c r="A321" t="s">
        <v>18</v>
      </c>
      <c r="B321" t="str">
        <f>貼付!$G$2&amp;マスタ登録抽出!A321</f>
        <v>4516552522125-10</v>
      </c>
      <c r="AC321">
        <v>10</v>
      </c>
    </row>
    <row r="322" spans="1:29" x14ac:dyDescent="0.55000000000000004">
      <c r="A322" t="s">
        <v>9</v>
      </c>
      <c r="B322" t="str">
        <f>貼付!$G$2&amp;マスタ登録抽出!A322</f>
        <v>4516552522125-1</v>
      </c>
      <c r="AC322">
        <v>1</v>
      </c>
    </row>
    <row r="323" spans="1:29" x14ac:dyDescent="0.55000000000000004">
      <c r="A323" t="s">
        <v>10</v>
      </c>
      <c r="B323" t="str">
        <f>貼付!$G$2&amp;マスタ登録抽出!A323</f>
        <v>4516552522125-2</v>
      </c>
      <c r="AC323">
        <v>2</v>
      </c>
    </row>
    <row r="324" spans="1:29" x14ac:dyDescent="0.55000000000000004">
      <c r="A324" t="s">
        <v>11</v>
      </c>
      <c r="B324" t="str">
        <f>貼付!$G$2&amp;マスタ登録抽出!A324</f>
        <v>4516552522125-3</v>
      </c>
      <c r="AC324">
        <v>3</v>
      </c>
    </row>
    <row r="325" spans="1:29" x14ac:dyDescent="0.55000000000000004">
      <c r="A325" t="s">
        <v>12</v>
      </c>
      <c r="B325" t="str">
        <f>貼付!$G$2&amp;マスタ登録抽出!A325</f>
        <v>4516552522125-4</v>
      </c>
      <c r="AC325">
        <v>4</v>
      </c>
    </row>
    <row r="326" spans="1:29" x14ac:dyDescent="0.55000000000000004">
      <c r="A326" t="s">
        <v>13</v>
      </c>
      <c r="B326" t="str">
        <f>貼付!$G$2&amp;マスタ登録抽出!A326</f>
        <v>4516552522125-5</v>
      </c>
      <c r="AC326">
        <v>5</v>
      </c>
    </row>
    <row r="327" spans="1:29" x14ac:dyDescent="0.55000000000000004">
      <c r="A327" t="s">
        <v>14</v>
      </c>
      <c r="B327" t="str">
        <f>貼付!$G$2&amp;マスタ登録抽出!A327</f>
        <v>4516552522125-6</v>
      </c>
      <c r="AC327">
        <v>6</v>
      </c>
    </row>
    <row r="328" spans="1:29" x14ac:dyDescent="0.55000000000000004">
      <c r="A328" t="s">
        <v>15</v>
      </c>
      <c r="B328" t="str">
        <f>貼付!$G$2&amp;マスタ登録抽出!A328</f>
        <v>4516552522125-7</v>
      </c>
      <c r="AC328">
        <v>7</v>
      </c>
    </row>
    <row r="329" spans="1:29" x14ac:dyDescent="0.55000000000000004">
      <c r="A329" t="s">
        <v>16</v>
      </c>
      <c r="B329" t="str">
        <f>貼付!$G$2&amp;マスタ登録抽出!A329</f>
        <v>4516552522125-8</v>
      </c>
      <c r="AC329">
        <v>8</v>
      </c>
    </row>
    <row r="330" spans="1:29" x14ac:dyDescent="0.55000000000000004">
      <c r="A330" t="s">
        <v>17</v>
      </c>
      <c r="B330" t="str">
        <f>貼付!$G$2&amp;マスタ登録抽出!A330</f>
        <v>4516552522125-9</v>
      </c>
      <c r="AC330">
        <v>9</v>
      </c>
    </row>
    <row r="331" spans="1:29" x14ac:dyDescent="0.55000000000000004">
      <c r="A331" t="s">
        <v>18</v>
      </c>
      <c r="B331" t="str">
        <f>貼付!$G$2&amp;マスタ登録抽出!A331</f>
        <v>4516552522125-10</v>
      </c>
      <c r="AC331">
        <v>10</v>
      </c>
    </row>
    <row r="332" spans="1:29" x14ac:dyDescent="0.55000000000000004">
      <c r="A332" t="s">
        <v>9</v>
      </c>
      <c r="B332" t="str">
        <f>貼付!$G$2&amp;マスタ登録抽出!A332</f>
        <v>4516552522125-1</v>
      </c>
      <c r="AC332">
        <v>1</v>
      </c>
    </row>
    <row r="333" spans="1:29" x14ac:dyDescent="0.55000000000000004">
      <c r="A333" t="s">
        <v>10</v>
      </c>
      <c r="B333" t="str">
        <f>貼付!$G$2&amp;マスタ登録抽出!A333</f>
        <v>4516552522125-2</v>
      </c>
      <c r="AC333">
        <v>2</v>
      </c>
    </row>
    <row r="334" spans="1:29" x14ac:dyDescent="0.55000000000000004">
      <c r="A334" t="s">
        <v>11</v>
      </c>
      <c r="B334" t="str">
        <f>貼付!$G$2&amp;マスタ登録抽出!A334</f>
        <v>4516552522125-3</v>
      </c>
      <c r="AC334">
        <v>3</v>
      </c>
    </row>
    <row r="335" spans="1:29" x14ac:dyDescent="0.55000000000000004">
      <c r="A335" t="s">
        <v>12</v>
      </c>
      <c r="B335" t="str">
        <f>貼付!$G$2&amp;マスタ登録抽出!A335</f>
        <v>4516552522125-4</v>
      </c>
      <c r="AC335">
        <v>4</v>
      </c>
    </row>
    <row r="336" spans="1:29" x14ac:dyDescent="0.55000000000000004">
      <c r="A336" t="s">
        <v>13</v>
      </c>
      <c r="B336" t="str">
        <f>貼付!$G$2&amp;マスタ登録抽出!A336</f>
        <v>4516552522125-5</v>
      </c>
      <c r="AC336">
        <v>5</v>
      </c>
    </row>
    <row r="337" spans="1:29" x14ac:dyDescent="0.55000000000000004">
      <c r="A337" t="s">
        <v>14</v>
      </c>
      <c r="B337" t="str">
        <f>貼付!$G$2&amp;マスタ登録抽出!A337</f>
        <v>4516552522125-6</v>
      </c>
      <c r="AC337">
        <v>6</v>
      </c>
    </row>
    <row r="338" spans="1:29" x14ac:dyDescent="0.55000000000000004">
      <c r="A338" t="s">
        <v>15</v>
      </c>
      <c r="B338" t="str">
        <f>貼付!$G$2&amp;マスタ登録抽出!A338</f>
        <v>4516552522125-7</v>
      </c>
      <c r="AC338">
        <v>7</v>
      </c>
    </row>
    <row r="339" spans="1:29" x14ac:dyDescent="0.55000000000000004">
      <c r="A339" t="s">
        <v>16</v>
      </c>
      <c r="B339" t="str">
        <f>貼付!$G$2&amp;マスタ登録抽出!A339</f>
        <v>4516552522125-8</v>
      </c>
      <c r="AC339">
        <v>8</v>
      </c>
    </row>
    <row r="340" spans="1:29" x14ac:dyDescent="0.55000000000000004">
      <c r="A340" t="s">
        <v>17</v>
      </c>
      <c r="B340" t="str">
        <f>貼付!$G$2&amp;マスタ登録抽出!A340</f>
        <v>4516552522125-9</v>
      </c>
      <c r="AC340">
        <v>9</v>
      </c>
    </row>
    <row r="341" spans="1:29" x14ac:dyDescent="0.55000000000000004">
      <c r="A341" t="s">
        <v>18</v>
      </c>
      <c r="B341" t="str">
        <f>貼付!$G$2&amp;マスタ登録抽出!A341</f>
        <v>4516552522125-10</v>
      </c>
      <c r="AC341">
        <v>10</v>
      </c>
    </row>
    <row r="342" spans="1:29" x14ac:dyDescent="0.55000000000000004">
      <c r="A342" t="s">
        <v>9</v>
      </c>
      <c r="B342" t="str">
        <f>貼付!$G$2&amp;マスタ登録抽出!A342</f>
        <v>4516552522125-1</v>
      </c>
      <c r="AC342">
        <v>1</v>
      </c>
    </row>
    <row r="343" spans="1:29" x14ac:dyDescent="0.55000000000000004">
      <c r="A343" t="s">
        <v>10</v>
      </c>
      <c r="B343" t="str">
        <f>貼付!$G$2&amp;マスタ登録抽出!A343</f>
        <v>4516552522125-2</v>
      </c>
      <c r="AC343">
        <v>2</v>
      </c>
    </row>
    <row r="344" spans="1:29" x14ac:dyDescent="0.55000000000000004">
      <c r="A344" t="s">
        <v>11</v>
      </c>
      <c r="B344" t="str">
        <f>貼付!$G$2&amp;マスタ登録抽出!A344</f>
        <v>4516552522125-3</v>
      </c>
      <c r="AC344">
        <v>3</v>
      </c>
    </row>
    <row r="345" spans="1:29" x14ac:dyDescent="0.55000000000000004">
      <c r="A345" t="s">
        <v>12</v>
      </c>
      <c r="B345" t="str">
        <f>貼付!$G$2&amp;マスタ登録抽出!A345</f>
        <v>4516552522125-4</v>
      </c>
      <c r="AC345">
        <v>4</v>
      </c>
    </row>
    <row r="346" spans="1:29" x14ac:dyDescent="0.55000000000000004">
      <c r="A346" t="s">
        <v>13</v>
      </c>
      <c r="B346" t="str">
        <f>貼付!$G$2&amp;マスタ登録抽出!A346</f>
        <v>4516552522125-5</v>
      </c>
      <c r="AC346">
        <v>5</v>
      </c>
    </row>
    <row r="347" spans="1:29" x14ac:dyDescent="0.55000000000000004">
      <c r="A347" t="s">
        <v>14</v>
      </c>
      <c r="B347" t="str">
        <f>貼付!$G$2&amp;マスタ登録抽出!A347</f>
        <v>4516552522125-6</v>
      </c>
      <c r="AC347">
        <v>6</v>
      </c>
    </row>
    <row r="348" spans="1:29" x14ac:dyDescent="0.55000000000000004">
      <c r="A348" t="s">
        <v>15</v>
      </c>
      <c r="B348" t="str">
        <f>貼付!$G$2&amp;マスタ登録抽出!A348</f>
        <v>4516552522125-7</v>
      </c>
      <c r="AC348">
        <v>7</v>
      </c>
    </row>
    <row r="349" spans="1:29" x14ac:dyDescent="0.55000000000000004">
      <c r="A349" t="s">
        <v>16</v>
      </c>
      <c r="B349" t="str">
        <f>貼付!$G$2&amp;マスタ登録抽出!A349</f>
        <v>4516552522125-8</v>
      </c>
      <c r="AC349">
        <v>8</v>
      </c>
    </row>
    <row r="350" spans="1:29" x14ac:dyDescent="0.55000000000000004">
      <c r="A350" t="s">
        <v>17</v>
      </c>
      <c r="B350" t="str">
        <f>貼付!$G$2&amp;マスタ登録抽出!A350</f>
        <v>4516552522125-9</v>
      </c>
      <c r="AC350">
        <v>9</v>
      </c>
    </row>
    <row r="351" spans="1:29" x14ac:dyDescent="0.55000000000000004">
      <c r="A351" t="s">
        <v>18</v>
      </c>
      <c r="B351" t="str">
        <f>貼付!$G$2&amp;マスタ登録抽出!A351</f>
        <v>4516552522125-10</v>
      </c>
      <c r="AC351">
        <v>10</v>
      </c>
    </row>
    <row r="352" spans="1:29" x14ac:dyDescent="0.55000000000000004">
      <c r="A352" t="s">
        <v>9</v>
      </c>
      <c r="B352" t="str">
        <f>貼付!$G$2&amp;マスタ登録抽出!A352</f>
        <v>4516552522125-1</v>
      </c>
      <c r="AC352">
        <v>1</v>
      </c>
    </row>
    <row r="353" spans="1:29" x14ac:dyDescent="0.55000000000000004">
      <c r="A353" t="s">
        <v>10</v>
      </c>
      <c r="B353" t="str">
        <f>貼付!$G$2&amp;マスタ登録抽出!A353</f>
        <v>4516552522125-2</v>
      </c>
      <c r="AC353">
        <v>2</v>
      </c>
    </row>
    <row r="354" spans="1:29" x14ac:dyDescent="0.55000000000000004">
      <c r="A354" t="s">
        <v>11</v>
      </c>
      <c r="B354" t="str">
        <f>貼付!$G$2&amp;マスタ登録抽出!A354</f>
        <v>4516552522125-3</v>
      </c>
      <c r="AC354">
        <v>3</v>
      </c>
    </row>
    <row r="355" spans="1:29" x14ac:dyDescent="0.55000000000000004">
      <c r="A355" t="s">
        <v>12</v>
      </c>
      <c r="B355" t="str">
        <f>貼付!$G$2&amp;マスタ登録抽出!A355</f>
        <v>4516552522125-4</v>
      </c>
      <c r="AC355">
        <v>4</v>
      </c>
    </row>
    <row r="356" spans="1:29" x14ac:dyDescent="0.55000000000000004">
      <c r="A356" t="s">
        <v>13</v>
      </c>
      <c r="B356" t="str">
        <f>貼付!$G$2&amp;マスタ登録抽出!A356</f>
        <v>4516552522125-5</v>
      </c>
      <c r="AC356">
        <v>5</v>
      </c>
    </row>
    <row r="357" spans="1:29" x14ac:dyDescent="0.55000000000000004">
      <c r="A357" t="s">
        <v>14</v>
      </c>
      <c r="B357" t="str">
        <f>貼付!$G$2&amp;マスタ登録抽出!A357</f>
        <v>4516552522125-6</v>
      </c>
      <c r="AC357">
        <v>6</v>
      </c>
    </row>
    <row r="358" spans="1:29" x14ac:dyDescent="0.55000000000000004">
      <c r="A358" t="s">
        <v>15</v>
      </c>
      <c r="B358" t="str">
        <f>貼付!$G$2&amp;マスタ登録抽出!A358</f>
        <v>4516552522125-7</v>
      </c>
      <c r="AC358">
        <v>7</v>
      </c>
    </row>
    <row r="359" spans="1:29" x14ac:dyDescent="0.55000000000000004">
      <c r="A359" t="s">
        <v>16</v>
      </c>
      <c r="B359" t="str">
        <f>貼付!$G$2&amp;マスタ登録抽出!A359</f>
        <v>4516552522125-8</v>
      </c>
      <c r="AC359">
        <v>8</v>
      </c>
    </row>
    <row r="360" spans="1:29" x14ac:dyDescent="0.55000000000000004">
      <c r="A360" t="s">
        <v>17</v>
      </c>
      <c r="B360" t="str">
        <f>貼付!$G$2&amp;マスタ登録抽出!A360</f>
        <v>4516552522125-9</v>
      </c>
      <c r="AC360">
        <v>9</v>
      </c>
    </row>
    <row r="361" spans="1:29" x14ac:dyDescent="0.55000000000000004">
      <c r="A361" t="s">
        <v>18</v>
      </c>
      <c r="B361" t="str">
        <f>貼付!$G$2&amp;マスタ登録抽出!A361</f>
        <v>4516552522125-10</v>
      </c>
      <c r="AC361">
        <v>10</v>
      </c>
    </row>
    <row r="362" spans="1:29" x14ac:dyDescent="0.55000000000000004">
      <c r="A362" t="s">
        <v>9</v>
      </c>
      <c r="B362" t="str">
        <f>貼付!$G$2&amp;マスタ登録抽出!A362</f>
        <v>4516552522125-1</v>
      </c>
      <c r="AC362">
        <v>1</v>
      </c>
    </row>
    <row r="363" spans="1:29" x14ac:dyDescent="0.55000000000000004">
      <c r="A363" t="s">
        <v>10</v>
      </c>
      <c r="B363" t="str">
        <f>貼付!$G$2&amp;マスタ登録抽出!A363</f>
        <v>4516552522125-2</v>
      </c>
      <c r="AC363">
        <v>2</v>
      </c>
    </row>
    <row r="364" spans="1:29" x14ac:dyDescent="0.55000000000000004">
      <c r="A364" t="s">
        <v>11</v>
      </c>
      <c r="B364" t="str">
        <f>貼付!$G$2&amp;マスタ登録抽出!A364</f>
        <v>4516552522125-3</v>
      </c>
      <c r="AC364">
        <v>3</v>
      </c>
    </row>
    <row r="365" spans="1:29" x14ac:dyDescent="0.55000000000000004">
      <c r="A365" t="s">
        <v>12</v>
      </c>
      <c r="B365" t="str">
        <f>貼付!$G$2&amp;マスタ登録抽出!A365</f>
        <v>4516552522125-4</v>
      </c>
      <c r="AC365">
        <v>4</v>
      </c>
    </row>
    <row r="366" spans="1:29" x14ac:dyDescent="0.55000000000000004">
      <c r="A366" t="s">
        <v>13</v>
      </c>
      <c r="B366" t="str">
        <f>貼付!$G$2&amp;マスタ登録抽出!A366</f>
        <v>4516552522125-5</v>
      </c>
      <c r="AC366">
        <v>5</v>
      </c>
    </row>
    <row r="367" spans="1:29" x14ac:dyDescent="0.55000000000000004">
      <c r="A367" t="s">
        <v>14</v>
      </c>
      <c r="B367" t="str">
        <f>貼付!$G$2&amp;マスタ登録抽出!A367</f>
        <v>4516552522125-6</v>
      </c>
      <c r="AC367">
        <v>6</v>
      </c>
    </row>
    <row r="368" spans="1:29" x14ac:dyDescent="0.55000000000000004">
      <c r="A368" t="s">
        <v>15</v>
      </c>
      <c r="B368" t="str">
        <f>貼付!$G$2&amp;マスタ登録抽出!A368</f>
        <v>4516552522125-7</v>
      </c>
      <c r="AC368">
        <v>7</v>
      </c>
    </row>
    <row r="369" spans="1:29" x14ac:dyDescent="0.55000000000000004">
      <c r="A369" t="s">
        <v>16</v>
      </c>
      <c r="B369" t="str">
        <f>貼付!$G$2&amp;マスタ登録抽出!A369</f>
        <v>4516552522125-8</v>
      </c>
      <c r="AC369">
        <v>8</v>
      </c>
    </row>
    <row r="370" spans="1:29" x14ac:dyDescent="0.55000000000000004">
      <c r="A370" t="s">
        <v>17</v>
      </c>
      <c r="B370" t="str">
        <f>貼付!$G$2&amp;マスタ登録抽出!A370</f>
        <v>4516552522125-9</v>
      </c>
      <c r="AC370">
        <v>9</v>
      </c>
    </row>
    <row r="371" spans="1:29" x14ac:dyDescent="0.55000000000000004">
      <c r="A371" t="s">
        <v>18</v>
      </c>
      <c r="B371" t="str">
        <f>貼付!$G$2&amp;マスタ登録抽出!A371</f>
        <v>4516552522125-10</v>
      </c>
      <c r="AC371">
        <v>10</v>
      </c>
    </row>
    <row r="372" spans="1:29" x14ac:dyDescent="0.55000000000000004">
      <c r="A372" t="s">
        <v>9</v>
      </c>
      <c r="B372" t="str">
        <f>貼付!$G$2&amp;マスタ登録抽出!A372</f>
        <v>4516552522125-1</v>
      </c>
      <c r="AC372">
        <v>1</v>
      </c>
    </row>
    <row r="373" spans="1:29" x14ac:dyDescent="0.55000000000000004">
      <c r="A373" t="s">
        <v>10</v>
      </c>
      <c r="B373" t="str">
        <f>貼付!$G$2&amp;マスタ登録抽出!A373</f>
        <v>4516552522125-2</v>
      </c>
      <c r="AC373">
        <v>2</v>
      </c>
    </row>
    <row r="374" spans="1:29" x14ac:dyDescent="0.55000000000000004">
      <c r="A374" t="s">
        <v>11</v>
      </c>
      <c r="B374" t="str">
        <f>貼付!$G$2&amp;マスタ登録抽出!A374</f>
        <v>4516552522125-3</v>
      </c>
      <c r="AC374">
        <v>3</v>
      </c>
    </row>
    <row r="375" spans="1:29" x14ac:dyDescent="0.55000000000000004">
      <c r="A375" t="s">
        <v>12</v>
      </c>
      <c r="B375" t="str">
        <f>貼付!$G$2&amp;マスタ登録抽出!A375</f>
        <v>4516552522125-4</v>
      </c>
      <c r="AC375">
        <v>4</v>
      </c>
    </row>
    <row r="376" spans="1:29" x14ac:dyDescent="0.55000000000000004">
      <c r="A376" t="s">
        <v>13</v>
      </c>
      <c r="B376" t="str">
        <f>貼付!$G$2&amp;マスタ登録抽出!A376</f>
        <v>4516552522125-5</v>
      </c>
      <c r="AC376">
        <v>5</v>
      </c>
    </row>
    <row r="377" spans="1:29" x14ac:dyDescent="0.55000000000000004">
      <c r="A377" t="s">
        <v>14</v>
      </c>
      <c r="B377" t="str">
        <f>貼付!$G$2&amp;マスタ登録抽出!A377</f>
        <v>4516552522125-6</v>
      </c>
      <c r="AC377">
        <v>6</v>
      </c>
    </row>
    <row r="378" spans="1:29" x14ac:dyDescent="0.55000000000000004">
      <c r="A378" t="s">
        <v>15</v>
      </c>
      <c r="B378" t="str">
        <f>貼付!$G$2&amp;マスタ登録抽出!A378</f>
        <v>4516552522125-7</v>
      </c>
      <c r="AC378">
        <v>7</v>
      </c>
    </row>
    <row r="379" spans="1:29" x14ac:dyDescent="0.55000000000000004">
      <c r="A379" t="s">
        <v>16</v>
      </c>
      <c r="B379" t="str">
        <f>貼付!$G$2&amp;マスタ登録抽出!A379</f>
        <v>4516552522125-8</v>
      </c>
      <c r="AC379">
        <v>8</v>
      </c>
    </row>
    <row r="380" spans="1:29" x14ac:dyDescent="0.55000000000000004">
      <c r="A380" t="s">
        <v>17</v>
      </c>
      <c r="B380" t="str">
        <f>貼付!$G$2&amp;マスタ登録抽出!A380</f>
        <v>4516552522125-9</v>
      </c>
      <c r="AC380">
        <v>9</v>
      </c>
    </row>
    <row r="381" spans="1:29" x14ac:dyDescent="0.55000000000000004">
      <c r="A381" t="s">
        <v>18</v>
      </c>
      <c r="B381" t="str">
        <f>貼付!$G$2&amp;マスタ登録抽出!A381</f>
        <v>4516552522125-10</v>
      </c>
      <c r="AC381">
        <v>10</v>
      </c>
    </row>
    <row r="382" spans="1:29" x14ac:dyDescent="0.55000000000000004">
      <c r="A382" t="s">
        <v>9</v>
      </c>
      <c r="B382" t="str">
        <f>貼付!$G$2&amp;マスタ登録抽出!A382</f>
        <v>4516552522125-1</v>
      </c>
      <c r="AC382">
        <v>1</v>
      </c>
    </row>
    <row r="383" spans="1:29" x14ac:dyDescent="0.55000000000000004">
      <c r="A383" t="s">
        <v>10</v>
      </c>
      <c r="B383" t="str">
        <f>貼付!$G$2&amp;マスタ登録抽出!A383</f>
        <v>4516552522125-2</v>
      </c>
      <c r="AC383">
        <v>2</v>
      </c>
    </row>
    <row r="384" spans="1:29" x14ac:dyDescent="0.55000000000000004">
      <c r="A384" t="s">
        <v>11</v>
      </c>
      <c r="B384" t="str">
        <f>貼付!$G$2&amp;マスタ登録抽出!A384</f>
        <v>4516552522125-3</v>
      </c>
      <c r="AC384">
        <v>3</v>
      </c>
    </row>
    <row r="385" spans="1:29" x14ac:dyDescent="0.55000000000000004">
      <c r="A385" t="s">
        <v>12</v>
      </c>
      <c r="B385" t="str">
        <f>貼付!$G$2&amp;マスタ登録抽出!A385</f>
        <v>4516552522125-4</v>
      </c>
      <c r="AC385">
        <v>4</v>
      </c>
    </row>
    <row r="386" spans="1:29" x14ac:dyDescent="0.55000000000000004">
      <c r="A386" t="s">
        <v>13</v>
      </c>
      <c r="B386" t="str">
        <f>貼付!$G$2&amp;マスタ登録抽出!A386</f>
        <v>4516552522125-5</v>
      </c>
      <c r="AC386">
        <v>5</v>
      </c>
    </row>
    <row r="387" spans="1:29" x14ac:dyDescent="0.55000000000000004">
      <c r="A387" t="s">
        <v>14</v>
      </c>
      <c r="B387" t="str">
        <f>貼付!$G$2&amp;マスタ登録抽出!A387</f>
        <v>4516552522125-6</v>
      </c>
      <c r="AC387">
        <v>6</v>
      </c>
    </row>
    <row r="388" spans="1:29" x14ac:dyDescent="0.55000000000000004">
      <c r="A388" t="s">
        <v>15</v>
      </c>
      <c r="B388" t="str">
        <f>貼付!$G$2&amp;マスタ登録抽出!A388</f>
        <v>4516552522125-7</v>
      </c>
      <c r="AC388">
        <v>7</v>
      </c>
    </row>
    <row r="389" spans="1:29" x14ac:dyDescent="0.55000000000000004">
      <c r="A389" t="s">
        <v>16</v>
      </c>
      <c r="B389" t="str">
        <f>貼付!$G$2&amp;マスタ登録抽出!A389</f>
        <v>4516552522125-8</v>
      </c>
      <c r="AC389">
        <v>8</v>
      </c>
    </row>
    <row r="390" spans="1:29" x14ac:dyDescent="0.55000000000000004">
      <c r="A390" t="s">
        <v>17</v>
      </c>
      <c r="B390" t="str">
        <f>貼付!$G$2&amp;マスタ登録抽出!A390</f>
        <v>4516552522125-9</v>
      </c>
      <c r="AC390">
        <v>9</v>
      </c>
    </row>
    <row r="391" spans="1:29" x14ac:dyDescent="0.55000000000000004">
      <c r="A391" t="s">
        <v>18</v>
      </c>
      <c r="B391" t="str">
        <f>貼付!$G$2&amp;マスタ登録抽出!A391</f>
        <v>4516552522125-10</v>
      </c>
      <c r="AC391">
        <v>10</v>
      </c>
    </row>
    <row r="392" spans="1:29" x14ac:dyDescent="0.55000000000000004">
      <c r="A392" t="s">
        <v>9</v>
      </c>
      <c r="B392" t="str">
        <f>貼付!$G$2&amp;マスタ登録抽出!A392</f>
        <v>4516552522125-1</v>
      </c>
      <c r="AC392">
        <v>1</v>
      </c>
    </row>
    <row r="393" spans="1:29" x14ac:dyDescent="0.55000000000000004">
      <c r="A393" t="s">
        <v>10</v>
      </c>
      <c r="B393" t="str">
        <f>貼付!$G$2&amp;マスタ登録抽出!A393</f>
        <v>4516552522125-2</v>
      </c>
      <c r="AC393">
        <v>2</v>
      </c>
    </row>
    <row r="394" spans="1:29" x14ac:dyDescent="0.55000000000000004">
      <c r="A394" t="s">
        <v>11</v>
      </c>
      <c r="B394" t="str">
        <f>貼付!$G$2&amp;マスタ登録抽出!A394</f>
        <v>4516552522125-3</v>
      </c>
      <c r="AC394">
        <v>3</v>
      </c>
    </row>
    <row r="395" spans="1:29" x14ac:dyDescent="0.55000000000000004">
      <c r="A395" t="s">
        <v>12</v>
      </c>
      <c r="B395" t="str">
        <f>貼付!$G$2&amp;マスタ登録抽出!A395</f>
        <v>4516552522125-4</v>
      </c>
      <c r="AC395">
        <v>4</v>
      </c>
    </row>
    <row r="396" spans="1:29" x14ac:dyDescent="0.55000000000000004">
      <c r="A396" t="s">
        <v>13</v>
      </c>
      <c r="B396" t="str">
        <f>貼付!$G$2&amp;マスタ登録抽出!A396</f>
        <v>4516552522125-5</v>
      </c>
      <c r="AC396">
        <v>5</v>
      </c>
    </row>
    <row r="397" spans="1:29" x14ac:dyDescent="0.55000000000000004">
      <c r="A397" t="s">
        <v>14</v>
      </c>
      <c r="B397" t="str">
        <f>貼付!$G$2&amp;マスタ登録抽出!A397</f>
        <v>4516552522125-6</v>
      </c>
      <c r="AC397">
        <v>6</v>
      </c>
    </row>
    <row r="398" spans="1:29" x14ac:dyDescent="0.55000000000000004">
      <c r="A398" t="s">
        <v>15</v>
      </c>
      <c r="B398" t="str">
        <f>貼付!$G$2&amp;マスタ登録抽出!A398</f>
        <v>4516552522125-7</v>
      </c>
      <c r="AC398">
        <v>7</v>
      </c>
    </row>
    <row r="399" spans="1:29" x14ac:dyDescent="0.55000000000000004">
      <c r="A399" t="s">
        <v>16</v>
      </c>
      <c r="B399" t="str">
        <f>貼付!$G$2&amp;マスタ登録抽出!A399</f>
        <v>4516552522125-8</v>
      </c>
      <c r="AC399">
        <v>8</v>
      </c>
    </row>
    <row r="400" spans="1:29" x14ac:dyDescent="0.55000000000000004">
      <c r="A400" t="s">
        <v>17</v>
      </c>
      <c r="B400" t="str">
        <f>貼付!$G$2&amp;マスタ登録抽出!A400</f>
        <v>4516552522125-9</v>
      </c>
      <c r="AC400">
        <v>9</v>
      </c>
    </row>
    <row r="401" spans="1:29" x14ac:dyDescent="0.55000000000000004">
      <c r="A401" t="s">
        <v>18</v>
      </c>
      <c r="B401" t="str">
        <f>貼付!$G$2&amp;マスタ登録抽出!A401</f>
        <v>4516552522125-10</v>
      </c>
      <c r="AC401">
        <v>10</v>
      </c>
    </row>
    <row r="402" spans="1:29" x14ac:dyDescent="0.55000000000000004">
      <c r="A402" t="s">
        <v>9</v>
      </c>
      <c r="B402" t="str">
        <f>貼付!$G$2&amp;マスタ登録抽出!A402</f>
        <v>4516552522125-1</v>
      </c>
      <c r="AC402">
        <v>1</v>
      </c>
    </row>
    <row r="403" spans="1:29" x14ac:dyDescent="0.55000000000000004">
      <c r="A403" t="s">
        <v>10</v>
      </c>
      <c r="B403" t="str">
        <f>貼付!$G$2&amp;マスタ登録抽出!A403</f>
        <v>4516552522125-2</v>
      </c>
      <c r="AC403">
        <v>2</v>
      </c>
    </row>
    <row r="404" spans="1:29" x14ac:dyDescent="0.55000000000000004">
      <c r="A404" t="s">
        <v>11</v>
      </c>
      <c r="B404" t="str">
        <f>貼付!$G$2&amp;マスタ登録抽出!A404</f>
        <v>4516552522125-3</v>
      </c>
      <c r="AC404">
        <v>3</v>
      </c>
    </row>
    <row r="405" spans="1:29" x14ac:dyDescent="0.55000000000000004">
      <c r="A405" t="s">
        <v>12</v>
      </c>
      <c r="B405" t="str">
        <f>貼付!$G$2&amp;マスタ登録抽出!A405</f>
        <v>4516552522125-4</v>
      </c>
      <c r="AC405">
        <v>4</v>
      </c>
    </row>
    <row r="406" spans="1:29" x14ac:dyDescent="0.55000000000000004">
      <c r="A406" t="s">
        <v>13</v>
      </c>
      <c r="B406" t="str">
        <f>貼付!$G$2&amp;マスタ登録抽出!A406</f>
        <v>4516552522125-5</v>
      </c>
      <c r="AC406">
        <v>5</v>
      </c>
    </row>
    <row r="407" spans="1:29" x14ac:dyDescent="0.55000000000000004">
      <c r="A407" t="s">
        <v>14</v>
      </c>
      <c r="B407" t="str">
        <f>貼付!$G$2&amp;マスタ登録抽出!A407</f>
        <v>4516552522125-6</v>
      </c>
      <c r="AC407">
        <v>6</v>
      </c>
    </row>
    <row r="408" spans="1:29" x14ac:dyDescent="0.55000000000000004">
      <c r="A408" t="s">
        <v>15</v>
      </c>
      <c r="B408" t="str">
        <f>貼付!$G$2&amp;マスタ登録抽出!A408</f>
        <v>4516552522125-7</v>
      </c>
      <c r="AC408">
        <v>7</v>
      </c>
    </row>
    <row r="409" spans="1:29" x14ac:dyDescent="0.55000000000000004">
      <c r="A409" t="s">
        <v>16</v>
      </c>
      <c r="B409" t="str">
        <f>貼付!$G$2&amp;マスタ登録抽出!A409</f>
        <v>4516552522125-8</v>
      </c>
      <c r="AC409">
        <v>8</v>
      </c>
    </row>
    <row r="410" spans="1:29" x14ac:dyDescent="0.55000000000000004">
      <c r="A410" t="s">
        <v>17</v>
      </c>
      <c r="B410" t="str">
        <f>貼付!$G$2&amp;マスタ登録抽出!A410</f>
        <v>4516552522125-9</v>
      </c>
      <c r="AC410">
        <v>9</v>
      </c>
    </row>
    <row r="411" spans="1:29" x14ac:dyDescent="0.55000000000000004">
      <c r="A411" t="s">
        <v>18</v>
      </c>
      <c r="B411" t="str">
        <f>貼付!$G$2&amp;マスタ登録抽出!A411</f>
        <v>4516552522125-10</v>
      </c>
      <c r="AC411">
        <v>10</v>
      </c>
    </row>
    <row r="412" spans="1:29" x14ac:dyDescent="0.55000000000000004">
      <c r="A412" t="s">
        <v>9</v>
      </c>
      <c r="B412" t="str">
        <f>貼付!$G$2&amp;マスタ登録抽出!A412</f>
        <v>4516552522125-1</v>
      </c>
      <c r="AC412">
        <v>1</v>
      </c>
    </row>
    <row r="413" spans="1:29" x14ac:dyDescent="0.55000000000000004">
      <c r="A413" t="s">
        <v>10</v>
      </c>
      <c r="B413" t="str">
        <f>貼付!$G$2&amp;マスタ登録抽出!A413</f>
        <v>4516552522125-2</v>
      </c>
      <c r="AC413">
        <v>2</v>
      </c>
    </row>
    <row r="414" spans="1:29" x14ac:dyDescent="0.55000000000000004">
      <c r="A414" t="s">
        <v>11</v>
      </c>
      <c r="B414" t="str">
        <f>貼付!$G$2&amp;マスタ登録抽出!A414</f>
        <v>4516552522125-3</v>
      </c>
      <c r="AC414">
        <v>3</v>
      </c>
    </row>
    <row r="415" spans="1:29" x14ac:dyDescent="0.55000000000000004">
      <c r="A415" t="s">
        <v>12</v>
      </c>
      <c r="B415" t="str">
        <f>貼付!$G$2&amp;マスタ登録抽出!A415</f>
        <v>4516552522125-4</v>
      </c>
      <c r="AC415">
        <v>4</v>
      </c>
    </row>
    <row r="416" spans="1:29" x14ac:dyDescent="0.55000000000000004">
      <c r="A416" t="s">
        <v>13</v>
      </c>
      <c r="B416" t="str">
        <f>貼付!$G$2&amp;マスタ登録抽出!A416</f>
        <v>4516552522125-5</v>
      </c>
      <c r="AC416">
        <v>5</v>
      </c>
    </row>
    <row r="417" spans="1:29" x14ac:dyDescent="0.55000000000000004">
      <c r="A417" t="s">
        <v>14</v>
      </c>
      <c r="B417" t="str">
        <f>貼付!$G$2&amp;マスタ登録抽出!A417</f>
        <v>4516552522125-6</v>
      </c>
      <c r="AC417">
        <v>6</v>
      </c>
    </row>
    <row r="418" spans="1:29" x14ac:dyDescent="0.55000000000000004">
      <c r="A418" t="s">
        <v>15</v>
      </c>
      <c r="B418" t="str">
        <f>貼付!$G$2&amp;マスタ登録抽出!A418</f>
        <v>4516552522125-7</v>
      </c>
      <c r="AC418">
        <v>7</v>
      </c>
    </row>
    <row r="419" spans="1:29" x14ac:dyDescent="0.55000000000000004">
      <c r="A419" t="s">
        <v>16</v>
      </c>
      <c r="B419" t="str">
        <f>貼付!$G$2&amp;マスタ登録抽出!A419</f>
        <v>4516552522125-8</v>
      </c>
      <c r="AC419">
        <v>8</v>
      </c>
    </row>
    <row r="420" spans="1:29" x14ac:dyDescent="0.55000000000000004">
      <c r="A420" t="s">
        <v>17</v>
      </c>
      <c r="B420" t="str">
        <f>貼付!$G$2&amp;マスタ登録抽出!A420</f>
        <v>4516552522125-9</v>
      </c>
      <c r="AC420">
        <v>9</v>
      </c>
    </row>
    <row r="421" spans="1:29" x14ac:dyDescent="0.55000000000000004">
      <c r="A421" t="s">
        <v>18</v>
      </c>
      <c r="B421" t="str">
        <f>貼付!$G$2&amp;マスタ登録抽出!A421</f>
        <v>4516552522125-10</v>
      </c>
      <c r="AC421">
        <v>10</v>
      </c>
    </row>
    <row r="422" spans="1:29" x14ac:dyDescent="0.55000000000000004">
      <c r="A422" t="s">
        <v>9</v>
      </c>
      <c r="B422" t="str">
        <f>貼付!$G$2&amp;マスタ登録抽出!A422</f>
        <v>4516552522125-1</v>
      </c>
      <c r="AC422">
        <v>1</v>
      </c>
    </row>
    <row r="423" spans="1:29" x14ac:dyDescent="0.55000000000000004">
      <c r="A423" t="s">
        <v>10</v>
      </c>
      <c r="B423" t="str">
        <f>貼付!$G$2&amp;マスタ登録抽出!A423</f>
        <v>4516552522125-2</v>
      </c>
      <c r="AC423">
        <v>2</v>
      </c>
    </row>
    <row r="424" spans="1:29" x14ac:dyDescent="0.55000000000000004">
      <c r="A424" t="s">
        <v>11</v>
      </c>
      <c r="B424" t="str">
        <f>貼付!$G$2&amp;マスタ登録抽出!A424</f>
        <v>4516552522125-3</v>
      </c>
      <c r="AC424">
        <v>3</v>
      </c>
    </row>
    <row r="425" spans="1:29" x14ac:dyDescent="0.55000000000000004">
      <c r="A425" t="s">
        <v>12</v>
      </c>
      <c r="B425" t="str">
        <f>貼付!$G$2&amp;マスタ登録抽出!A425</f>
        <v>4516552522125-4</v>
      </c>
      <c r="AC425">
        <v>4</v>
      </c>
    </row>
    <row r="426" spans="1:29" x14ac:dyDescent="0.55000000000000004">
      <c r="A426" t="s">
        <v>13</v>
      </c>
      <c r="B426" t="str">
        <f>貼付!$G$2&amp;マスタ登録抽出!A426</f>
        <v>4516552522125-5</v>
      </c>
      <c r="AC426">
        <v>5</v>
      </c>
    </row>
    <row r="427" spans="1:29" x14ac:dyDescent="0.55000000000000004">
      <c r="A427" t="s">
        <v>14</v>
      </c>
      <c r="B427" t="str">
        <f>貼付!$G$2&amp;マスタ登録抽出!A427</f>
        <v>4516552522125-6</v>
      </c>
      <c r="AC427">
        <v>6</v>
      </c>
    </row>
    <row r="428" spans="1:29" x14ac:dyDescent="0.55000000000000004">
      <c r="A428" t="s">
        <v>15</v>
      </c>
      <c r="B428" t="str">
        <f>貼付!$G$2&amp;マスタ登録抽出!A428</f>
        <v>4516552522125-7</v>
      </c>
      <c r="AC428">
        <v>7</v>
      </c>
    </row>
    <row r="429" spans="1:29" x14ac:dyDescent="0.55000000000000004">
      <c r="A429" t="s">
        <v>16</v>
      </c>
      <c r="AC429">
        <v>8</v>
      </c>
    </row>
    <row r="430" spans="1:29" x14ac:dyDescent="0.55000000000000004">
      <c r="A430" t="s">
        <v>17</v>
      </c>
      <c r="AC430">
        <v>9</v>
      </c>
    </row>
    <row r="431" spans="1:29" x14ac:dyDescent="0.55000000000000004">
      <c r="A431" t="s">
        <v>18</v>
      </c>
      <c r="AC431">
        <v>10</v>
      </c>
    </row>
    <row r="432" spans="1:29" x14ac:dyDescent="0.55000000000000004">
      <c r="A432" t="s">
        <v>9</v>
      </c>
      <c r="AC432">
        <v>1</v>
      </c>
    </row>
    <row r="433" spans="1:29" x14ac:dyDescent="0.55000000000000004">
      <c r="A433" t="s">
        <v>10</v>
      </c>
      <c r="AC433">
        <v>2</v>
      </c>
    </row>
    <row r="434" spans="1:29" x14ac:dyDescent="0.55000000000000004">
      <c r="A434" t="s">
        <v>11</v>
      </c>
      <c r="AC434">
        <v>3</v>
      </c>
    </row>
    <row r="435" spans="1:29" x14ac:dyDescent="0.55000000000000004">
      <c r="A435" t="s">
        <v>12</v>
      </c>
      <c r="AC435">
        <v>4</v>
      </c>
    </row>
    <row r="436" spans="1:29" x14ac:dyDescent="0.55000000000000004">
      <c r="A436" t="s">
        <v>13</v>
      </c>
      <c r="AC436">
        <v>5</v>
      </c>
    </row>
    <row r="437" spans="1:29" x14ac:dyDescent="0.55000000000000004">
      <c r="A437" t="s">
        <v>14</v>
      </c>
      <c r="AC437">
        <v>6</v>
      </c>
    </row>
    <row r="438" spans="1:29" x14ac:dyDescent="0.55000000000000004">
      <c r="A438" t="s">
        <v>15</v>
      </c>
      <c r="AC438">
        <v>7</v>
      </c>
    </row>
    <row r="439" spans="1:29" x14ac:dyDescent="0.55000000000000004">
      <c r="A439" t="s">
        <v>16</v>
      </c>
      <c r="AC439">
        <v>8</v>
      </c>
    </row>
    <row r="440" spans="1:29" x14ac:dyDescent="0.55000000000000004">
      <c r="A440" t="s">
        <v>17</v>
      </c>
      <c r="AC440">
        <v>9</v>
      </c>
    </row>
    <row r="441" spans="1:29" x14ac:dyDescent="0.55000000000000004">
      <c r="A441" t="s">
        <v>18</v>
      </c>
      <c r="AC441">
        <v>10</v>
      </c>
    </row>
    <row r="442" spans="1:29" x14ac:dyDescent="0.55000000000000004">
      <c r="AC442">
        <v>1</v>
      </c>
    </row>
    <row r="443" spans="1:29" x14ac:dyDescent="0.55000000000000004">
      <c r="AC443">
        <v>2</v>
      </c>
    </row>
    <row r="444" spans="1:29" x14ac:dyDescent="0.55000000000000004">
      <c r="AC444">
        <v>3</v>
      </c>
    </row>
    <row r="445" spans="1:29" x14ac:dyDescent="0.55000000000000004">
      <c r="AC445">
        <v>4</v>
      </c>
    </row>
    <row r="446" spans="1:29" x14ac:dyDescent="0.55000000000000004">
      <c r="AC446">
        <v>5</v>
      </c>
    </row>
    <row r="447" spans="1:29" x14ac:dyDescent="0.55000000000000004">
      <c r="AC447">
        <v>6</v>
      </c>
    </row>
    <row r="448" spans="1:29" x14ac:dyDescent="0.55000000000000004">
      <c r="AC448">
        <v>7</v>
      </c>
    </row>
    <row r="449" spans="29:29" x14ac:dyDescent="0.55000000000000004">
      <c r="AC449">
        <v>8</v>
      </c>
    </row>
    <row r="450" spans="29:29" x14ac:dyDescent="0.55000000000000004">
      <c r="AC450">
        <v>9</v>
      </c>
    </row>
    <row r="451" spans="29:29" x14ac:dyDescent="0.55000000000000004">
      <c r="AC451">
        <v>10</v>
      </c>
    </row>
    <row r="452" spans="29:29" x14ac:dyDescent="0.55000000000000004">
      <c r="AC452">
        <v>1</v>
      </c>
    </row>
    <row r="453" spans="29:29" x14ac:dyDescent="0.55000000000000004">
      <c r="AC453">
        <v>2</v>
      </c>
    </row>
    <row r="454" spans="29:29" x14ac:dyDescent="0.55000000000000004">
      <c r="AC454">
        <v>3</v>
      </c>
    </row>
    <row r="455" spans="29:29" x14ac:dyDescent="0.55000000000000004">
      <c r="AC455">
        <v>4</v>
      </c>
    </row>
    <row r="456" spans="29:29" x14ac:dyDescent="0.55000000000000004">
      <c r="AC456">
        <v>5</v>
      </c>
    </row>
    <row r="457" spans="29:29" x14ac:dyDescent="0.55000000000000004">
      <c r="AC457">
        <v>6</v>
      </c>
    </row>
    <row r="458" spans="29:29" x14ac:dyDescent="0.55000000000000004">
      <c r="AC458">
        <v>7</v>
      </c>
    </row>
    <row r="459" spans="29:29" x14ac:dyDescent="0.55000000000000004">
      <c r="AC459">
        <v>8</v>
      </c>
    </row>
    <row r="460" spans="29:29" x14ac:dyDescent="0.55000000000000004">
      <c r="AC460">
        <v>9</v>
      </c>
    </row>
    <row r="461" spans="29:29" x14ac:dyDescent="0.55000000000000004">
      <c r="AC461">
        <v>10</v>
      </c>
    </row>
    <row r="462" spans="29:29" x14ac:dyDescent="0.55000000000000004">
      <c r="AC462">
        <v>1</v>
      </c>
    </row>
    <row r="463" spans="29:29" x14ac:dyDescent="0.55000000000000004">
      <c r="AC463">
        <v>2</v>
      </c>
    </row>
    <row r="464" spans="29:29" x14ac:dyDescent="0.55000000000000004">
      <c r="AC464">
        <v>3</v>
      </c>
    </row>
    <row r="465" spans="29:29" x14ac:dyDescent="0.55000000000000004">
      <c r="AC465">
        <v>4</v>
      </c>
    </row>
    <row r="466" spans="29:29" x14ac:dyDescent="0.55000000000000004">
      <c r="AC466">
        <v>5</v>
      </c>
    </row>
    <row r="467" spans="29:29" x14ac:dyDescent="0.55000000000000004">
      <c r="AC467">
        <v>6</v>
      </c>
    </row>
    <row r="468" spans="29:29" x14ac:dyDescent="0.55000000000000004">
      <c r="AC468">
        <v>7</v>
      </c>
    </row>
    <row r="469" spans="29:29" x14ac:dyDescent="0.55000000000000004">
      <c r="AC469">
        <v>8</v>
      </c>
    </row>
    <row r="470" spans="29:29" x14ac:dyDescent="0.55000000000000004">
      <c r="AC470">
        <v>9</v>
      </c>
    </row>
    <row r="471" spans="29:29" x14ac:dyDescent="0.55000000000000004">
      <c r="AC471">
        <v>10</v>
      </c>
    </row>
    <row r="472" spans="29:29" x14ac:dyDescent="0.55000000000000004">
      <c r="AC472">
        <v>1</v>
      </c>
    </row>
    <row r="473" spans="29:29" x14ac:dyDescent="0.55000000000000004">
      <c r="AC473">
        <v>2</v>
      </c>
    </row>
    <row r="474" spans="29:29" x14ac:dyDescent="0.55000000000000004">
      <c r="AC474">
        <v>3</v>
      </c>
    </row>
    <row r="475" spans="29:29" x14ac:dyDescent="0.55000000000000004">
      <c r="AC475">
        <v>4</v>
      </c>
    </row>
    <row r="476" spans="29:29" x14ac:dyDescent="0.55000000000000004">
      <c r="AC476">
        <v>5</v>
      </c>
    </row>
    <row r="477" spans="29:29" x14ac:dyDescent="0.55000000000000004">
      <c r="AC477">
        <v>6</v>
      </c>
    </row>
    <row r="478" spans="29:29" x14ac:dyDescent="0.55000000000000004">
      <c r="AC478">
        <v>7</v>
      </c>
    </row>
    <row r="479" spans="29:29" x14ac:dyDescent="0.55000000000000004">
      <c r="AC479">
        <v>8</v>
      </c>
    </row>
    <row r="480" spans="29:29" x14ac:dyDescent="0.55000000000000004">
      <c r="AC480">
        <v>9</v>
      </c>
    </row>
    <row r="481" spans="29:29" x14ac:dyDescent="0.55000000000000004">
      <c r="AC481">
        <v>10</v>
      </c>
    </row>
    <row r="482" spans="29:29" x14ac:dyDescent="0.55000000000000004">
      <c r="AC482">
        <v>1</v>
      </c>
    </row>
    <row r="483" spans="29:29" x14ac:dyDescent="0.55000000000000004">
      <c r="AC483">
        <v>2</v>
      </c>
    </row>
    <row r="484" spans="29:29" x14ac:dyDescent="0.55000000000000004">
      <c r="AC484">
        <v>3</v>
      </c>
    </row>
    <row r="485" spans="29:29" x14ac:dyDescent="0.55000000000000004">
      <c r="AC485">
        <v>4</v>
      </c>
    </row>
    <row r="486" spans="29:29" x14ac:dyDescent="0.55000000000000004">
      <c r="AC486">
        <v>5</v>
      </c>
    </row>
    <row r="487" spans="29:29" x14ac:dyDescent="0.55000000000000004">
      <c r="AC487">
        <v>6</v>
      </c>
    </row>
    <row r="488" spans="29:29" x14ac:dyDescent="0.55000000000000004">
      <c r="AC488">
        <v>7</v>
      </c>
    </row>
    <row r="489" spans="29:29" x14ac:dyDescent="0.55000000000000004">
      <c r="AC489">
        <v>8</v>
      </c>
    </row>
    <row r="490" spans="29:29" x14ac:dyDescent="0.55000000000000004">
      <c r="AC490">
        <v>9</v>
      </c>
    </row>
    <row r="491" spans="29:29" x14ac:dyDescent="0.55000000000000004">
      <c r="AC491">
        <v>10</v>
      </c>
    </row>
    <row r="492" spans="29:29" x14ac:dyDescent="0.55000000000000004">
      <c r="AC492">
        <v>1</v>
      </c>
    </row>
    <row r="493" spans="29:29" x14ac:dyDescent="0.55000000000000004">
      <c r="AC493">
        <v>2</v>
      </c>
    </row>
    <row r="494" spans="29:29" x14ac:dyDescent="0.55000000000000004">
      <c r="AC494">
        <v>3</v>
      </c>
    </row>
    <row r="495" spans="29:29" x14ac:dyDescent="0.55000000000000004">
      <c r="AC495">
        <v>4</v>
      </c>
    </row>
    <row r="496" spans="29:29" x14ac:dyDescent="0.55000000000000004">
      <c r="AC496">
        <v>5</v>
      </c>
    </row>
    <row r="497" spans="29:29" x14ac:dyDescent="0.55000000000000004">
      <c r="AC497">
        <v>6</v>
      </c>
    </row>
    <row r="498" spans="29:29" x14ac:dyDescent="0.55000000000000004">
      <c r="AC498">
        <v>7</v>
      </c>
    </row>
    <row r="499" spans="29:29" x14ac:dyDescent="0.55000000000000004">
      <c r="AC499">
        <v>8</v>
      </c>
    </row>
    <row r="500" spans="29:29" x14ac:dyDescent="0.55000000000000004">
      <c r="AC500">
        <v>9</v>
      </c>
    </row>
    <row r="501" spans="29:29" x14ac:dyDescent="0.55000000000000004">
      <c r="AC501">
        <v>10</v>
      </c>
    </row>
    <row r="502" spans="29:29" x14ac:dyDescent="0.55000000000000004">
      <c r="AC502">
        <v>1</v>
      </c>
    </row>
    <row r="503" spans="29:29" x14ac:dyDescent="0.55000000000000004">
      <c r="AC503">
        <v>2</v>
      </c>
    </row>
    <row r="504" spans="29:29" x14ac:dyDescent="0.55000000000000004">
      <c r="AC504">
        <v>3</v>
      </c>
    </row>
    <row r="505" spans="29:29" x14ac:dyDescent="0.55000000000000004">
      <c r="AC505">
        <v>4</v>
      </c>
    </row>
    <row r="506" spans="29:29" x14ac:dyDescent="0.55000000000000004">
      <c r="AC506">
        <v>5</v>
      </c>
    </row>
    <row r="507" spans="29:29" x14ac:dyDescent="0.55000000000000004">
      <c r="AC507">
        <v>6</v>
      </c>
    </row>
    <row r="508" spans="29:29" x14ac:dyDescent="0.55000000000000004">
      <c r="AC508">
        <v>7</v>
      </c>
    </row>
    <row r="509" spans="29:29" x14ac:dyDescent="0.55000000000000004">
      <c r="AC509">
        <v>8</v>
      </c>
    </row>
    <row r="510" spans="29:29" x14ac:dyDescent="0.55000000000000004">
      <c r="AC510">
        <v>9</v>
      </c>
    </row>
    <row r="511" spans="29:29" x14ac:dyDescent="0.55000000000000004">
      <c r="AC511">
        <v>10</v>
      </c>
    </row>
    <row r="512" spans="29:29" x14ac:dyDescent="0.55000000000000004">
      <c r="AC512">
        <v>1</v>
      </c>
    </row>
    <row r="513" spans="29:29" x14ac:dyDescent="0.55000000000000004">
      <c r="AC513">
        <v>2</v>
      </c>
    </row>
    <row r="514" spans="29:29" x14ac:dyDescent="0.55000000000000004">
      <c r="AC514">
        <v>3</v>
      </c>
    </row>
    <row r="515" spans="29:29" x14ac:dyDescent="0.55000000000000004">
      <c r="AC515">
        <v>4</v>
      </c>
    </row>
    <row r="516" spans="29:29" x14ac:dyDescent="0.55000000000000004">
      <c r="AC516">
        <v>5</v>
      </c>
    </row>
    <row r="517" spans="29:29" x14ac:dyDescent="0.55000000000000004">
      <c r="AC517">
        <v>6</v>
      </c>
    </row>
    <row r="518" spans="29:29" x14ac:dyDescent="0.55000000000000004">
      <c r="AC518">
        <v>7</v>
      </c>
    </row>
    <row r="519" spans="29:29" x14ac:dyDescent="0.55000000000000004">
      <c r="AC519">
        <v>8</v>
      </c>
    </row>
    <row r="520" spans="29:29" x14ac:dyDescent="0.55000000000000004">
      <c r="AC520">
        <v>9</v>
      </c>
    </row>
    <row r="521" spans="29:29" x14ac:dyDescent="0.55000000000000004">
      <c r="AC521">
        <v>10</v>
      </c>
    </row>
    <row r="522" spans="29:29" x14ac:dyDescent="0.55000000000000004">
      <c r="AC522">
        <v>1</v>
      </c>
    </row>
    <row r="523" spans="29:29" x14ac:dyDescent="0.55000000000000004">
      <c r="AC523">
        <v>2</v>
      </c>
    </row>
    <row r="524" spans="29:29" x14ac:dyDescent="0.55000000000000004">
      <c r="AC524">
        <v>3</v>
      </c>
    </row>
    <row r="525" spans="29:29" x14ac:dyDescent="0.55000000000000004">
      <c r="AC525">
        <v>4</v>
      </c>
    </row>
    <row r="526" spans="29:29" x14ac:dyDescent="0.55000000000000004">
      <c r="AC526">
        <v>5</v>
      </c>
    </row>
    <row r="527" spans="29:29" x14ac:dyDescent="0.55000000000000004">
      <c r="AC527">
        <v>6</v>
      </c>
    </row>
    <row r="528" spans="29:29" x14ac:dyDescent="0.55000000000000004">
      <c r="AC528">
        <v>7</v>
      </c>
    </row>
    <row r="529" spans="29:29" x14ac:dyDescent="0.55000000000000004">
      <c r="AC529">
        <v>8</v>
      </c>
    </row>
    <row r="530" spans="29:29" x14ac:dyDescent="0.55000000000000004">
      <c r="AC530">
        <v>9</v>
      </c>
    </row>
    <row r="531" spans="29:29" x14ac:dyDescent="0.55000000000000004">
      <c r="AC531">
        <v>10</v>
      </c>
    </row>
    <row r="532" spans="29:29" x14ac:dyDescent="0.55000000000000004">
      <c r="AC532">
        <v>1</v>
      </c>
    </row>
    <row r="533" spans="29:29" x14ac:dyDescent="0.55000000000000004">
      <c r="AC533">
        <v>2</v>
      </c>
    </row>
    <row r="534" spans="29:29" x14ac:dyDescent="0.55000000000000004">
      <c r="AC534">
        <v>3</v>
      </c>
    </row>
    <row r="535" spans="29:29" x14ac:dyDescent="0.55000000000000004">
      <c r="AC535">
        <v>4</v>
      </c>
    </row>
    <row r="536" spans="29:29" x14ac:dyDescent="0.55000000000000004">
      <c r="AC536">
        <v>5</v>
      </c>
    </row>
    <row r="537" spans="29:29" x14ac:dyDescent="0.55000000000000004">
      <c r="AC537">
        <v>6</v>
      </c>
    </row>
    <row r="538" spans="29:29" x14ac:dyDescent="0.55000000000000004">
      <c r="AC538">
        <v>7</v>
      </c>
    </row>
    <row r="539" spans="29:29" x14ac:dyDescent="0.55000000000000004">
      <c r="AC539">
        <v>8</v>
      </c>
    </row>
    <row r="540" spans="29:29" x14ac:dyDescent="0.55000000000000004">
      <c r="AC540">
        <v>9</v>
      </c>
    </row>
    <row r="541" spans="29:29" x14ac:dyDescent="0.55000000000000004">
      <c r="AC541">
        <v>10</v>
      </c>
    </row>
    <row r="542" spans="29:29" x14ac:dyDescent="0.55000000000000004">
      <c r="AC542">
        <v>1</v>
      </c>
    </row>
    <row r="543" spans="29:29" x14ac:dyDescent="0.55000000000000004">
      <c r="AC543">
        <v>2</v>
      </c>
    </row>
    <row r="544" spans="29:29" x14ac:dyDescent="0.55000000000000004">
      <c r="AC544">
        <v>3</v>
      </c>
    </row>
    <row r="545" spans="29:29" x14ac:dyDescent="0.55000000000000004">
      <c r="AC545">
        <v>4</v>
      </c>
    </row>
    <row r="546" spans="29:29" x14ac:dyDescent="0.55000000000000004">
      <c r="AC546">
        <v>5</v>
      </c>
    </row>
    <row r="547" spans="29:29" x14ac:dyDescent="0.55000000000000004">
      <c r="AC547">
        <v>6</v>
      </c>
    </row>
    <row r="548" spans="29:29" x14ac:dyDescent="0.55000000000000004">
      <c r="AC548">
        <v>7</v>
      </c>
    </row>
    <row r="549" spans="29:29" x14ac:dyDescent="0.55000000000000004">
      <c r="AC549">
        <v>8</v>
      </c>
    </row>
    <row r="550" spans="29:29" x14ac:dyDescent="0.55000000000000004">
      <c r="AC550">
        <v>9</v>
      </c>
    </row>
    <row r="551" spans="29:29" x14ac:dyDescent="0.55000000000000004">
      <c r="AC551">
        <v>10</v>
      </c>
    </row>
    <row r="552" spans="29:29" x14ac:dyDescent="0.55000000000000004">
      <c r="AC552">
        <v>1</v>
      </c>
    </row>
    <row r="553" spans="29:29" x14ac:dyDescent="0.55000000000000004">
      <c r="AC553">
        <v>2</v>
      </c>
    </row>
    <row r="554" spans="29:29" x14ac:dyDescent="0.55000000000000004">
      <c r="AC554">
        <v>3</v>
      </c>
    </row>
    <row r="555" spans="29:29" x14ac:dyDescent="0.55000000000000004">
      <c r="AC555">
        <v>4</v>
      </c>
    </row>
    <row r="556" spans="29:29" x14ac:dyDescent="0.55000000000000004">
      <c r="AC556">
        <v>5</v>
      </c>
    </row>
    <row r="557" spans="29:29" x14ac:dyDescent="0.55000000000000004">
      <c r="AC557">
        <v>6</v>
      </c>
    </row>
    <row r="558" spans="29:29" x14ac:dyDescent="0.55000000000000004">
      <c r="AC558">
        <v>7</v>
      </c>
    </row>
    <row r="559" spans="29:29" x14ac:dyDescent="0.55000000000000004">
      <c r="AC559">
        <v>8</v>
      </c>
    </row>
    <row r="560" spans="29:29" x14ac:dyDescent="0.55000000000000004">
      <c r="AC560">
        <v>9</v>
      </c>
    </row>
    <row r="561" spans="29:29" x14ac:dyDescent="0.55000000000000004">
      <c r="AC561">
        <v>10</v>
      </c>
    </row>
    <row r="562" spans="29:29" x14ac:dyDescent="0.55000000000000004">
      <c r="AC562">
        <v>1</v>
      </c>
    </row>
    <row r="563" spans="29:29" x14ac:dyDescent="0.55000000000000004">
      <c r="AC563">
        <v>2</v>
      </c>
    </row>
    <row r="564" spans="29:29" x14ac:dyDescent="0.55000000000000004">
      <c r="AC564">
        <v>3</v>
      </c>
    </row>
    <row r="565" spans="29:29" x14ac:dyDescent="0.55000000000000004">
      <c r="AC565">
        <v>4</v>
      </c>
    </row>
    <row r="566" spans="29:29" x14ac:dyDescent="0.55000000000000004">
      <c r="AC566">
        <v>5</v>
      </c>
    </row>
    <row r="567" spans="29:29" x14ac:dyDescent="0.55000000000000004">
      <c r="AC567">
        <v>6</v>
      </c>
    </row>
    <row r="568" spans="29:29" x14ac:dyDescent="0.55000000000000004">
      <c r="AC568">
        <v>7</v>
      </c>
    </row>
    <row r="569" spans="29:29" x14ac:dyDescent="0.55000000000000004">
      <c r="AC569">
        <v>8</v>
      </c>
    </row>
    <row r="570" spans="29:29" x14ac:dyDescent="0.55000000000000004">
      <c r="AC570">
        <v>9</v>
      </c>
    </row>
    <row r="571" spans="29:29" x14ac:dyDescent="0.55000000000000004">
      <c r="AC571">
        <v>10</v>
      </c>
    </row>
    <row r="572" spans="29:29" x14ac:dyDescent="0.55000000000000004">
      <c r="AC572">
        <v>1</v>
      </c>
    </row>
    <row r="573" spans="29:29" x14ac:dyDescent="0.55000000000000004">
      <c r="AC573">
        <v>2</v>
      </c>
    </row>
    <row r="574" spans="29:29" x14ac:dyDescent="0.55000000000000004">
      <c r="AC574">
        <v>3</v>
      </c>
    </row>
    <row r="575" spans="29:29" x14ac:dyDescent="0.55000000000000004">
      <c r="AC575">
        <v>4</v>
      </c>
    </row>
    <row r="576" spans="29:29" x14ac:dyDescent="0.55000000000000004">
      <c r="AC576">
        <v>5</v>
      </c>
    </row>
    <row r="577" spans="29:29" x14ac:dyDescent="0.55000000000000004">
      <c r="AC577">
        <v>6</v>
      </c>
    </row>
    <row r="578" spans="29:29" x14ac:dyDescent="0.55000000000000004">
      <c r="AC578">
        <v>7</v>
      </c>
    </row>
    <row r="579" spans="29:29" x14ac:dyDescent="0.55000000000000004">
      <c r="AC579">
        <v>8</v>
      </c>
    </row>
    <row r="580" spans="29:29" x14ac:dyDescent="0.55000000000000004">
      <c r="AC580">
        <v>9</v>
      </c>
    </row>
    <row r="581" spans="29:29" x14ac:dyDescent="0.55000000000000004">
      <c r="AC581">
        <v>10</v>
      </c>
    </row>
    <row r="582" spans="29:29" x14ac:dyDescent="0.55000000000000004">
      <c r="AC582">
        <v>1</v>
      </c>
    </row>
    <row r="583" spans="29:29" x14ac:dyDescent="0.55000000000000004">
      <c r="AC583">
        <v>2</v>
      </c>
    </row>
    <row r="584" spans="29:29" x14ac:dyDescent="0.55000000000000004">
      <c r="AC584">
        <v>3</v>
      </c>
    </row>
    <row r="585" spans="29:29" x14ac:dyDescent="0.55000000000000004">
      <c r="AC585">
        <v>4</v>
      </c>
    </row>
    <row r="586" spans="29:29" x14ac:dyDescent="0.55000000000000004">
      <c r="AC586">
        <v>5</v>
      </c>
    </row>
    <row r="587" spans="29:29" x14ac:dyDescent="0.55000000000000004">
      <c r="AC587">
        <v>6</v>
      </c>
    </row>
    <row r="588" spans="29:29" x14ac:dyDescent="0.55000000000000004">
      <c r="AC588">
        <v>7</v>
      </c>
    </row>
    <row r="589" spans="29:29" x14ac:dyDescent="0.55000000000000004">
      <c r="AC589">
        <v>8</v>
      </c>
    </row>
    <row r="590" spans="29:29" x14ac:dyDescent="0.55000000000000004">
      <c r="AC590">
        <v>9</v>
      </c>
    </row>
    <row r="591" spans="29:29" x14ac:dyDescent="0.55000000000000004">
      <c r="AC591">
        <v>10</v>
      </c>
    </row>
    <row r="592" spans="29:29" x14ac:dyDescent="0.55000000000000004">
      <c r="AC592">
        <v>1</v>
      </c>
    </row>
    <row r="593" spans="29:29" x14ac:dyDescent="0.55000000000000004">
      <c r="AC593">
        <v>2</v>
      </c>
    </row>
    <row r="594" spans="29:29" x14ac:dyDescent="0.55000000000000004">
      <c r="AC594">
        <v>3</v>
      </c>
    </row>
    <row r="595" spans="29:29" x14ac:dyDescent="0.55000000000000004">
      <c r="AC595">
        <v>4</v>
      </c>
    </row>
    <row r="596" spans="29:29" x14ac:dyDescent="0.55000000000000004">
      <c r="AC596">
        <v>5</v>
      </c>
    </row>
    <row r="597" spans="29:29" x14ac:dyDescent="0.55000000000000004">
      <c r="AC597">
        <v>6</v>
      </c>
    </row>
    <row r="598" spans="29:29" x14ac:dyDescent="0.55000000000000004">
      <c r="AC598">
        <v>7</v>
      </c>
    </row>
    <row r="599" spans="29:29" x14ac:dyDescent="0.55000000000000004">
      <c r="AC599">
        <v>8</v>
      </c>
    </row>
    <row r="600" spans="29:29" x14ac:dyDescent="0.55000000000000004">
      <c r="AC600">
        <v>9</v>
      </c>
    </row>
    <row r="601" spans="29:29" x14ac:dyDescent="0.55000000000000004">
      <c r="AC601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貼付</vt:lpstr>
      <vt:lpstr>マスタ登録抽出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本近 浩一</cp:lastModifiedBy>
  <dcterms:created xsi:type="dcterms:W3CDTF">2022-02-03T13:29:45Z</dcterms:created>
  <dcterms:modified xsi:type="dcterms:W3CDTF">2022-02-09T12:23:20Z</dcterms:modified>
</cp:coreProperties>
</file>